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5270" windowHeight="8010" tabRatio="742" activeTab="5"/>
  </bookViews>
  <sheets>
    <sheet name="Summary" sheetId="2" r:id="rId1"/>
    <sheet name="Project Summary" sheetId="4" r:id="rId2"/>
    <sheet name="Features" sheetId="12" r:id="rId3"/>
    <sheet name="User System" sheetId="1" r:id="rId4"/>
    <sheet name="Usage Times" sheetId="5" r:id="rId5"/>
    <sheet name="Versions" sheetId="11" r:id="rId6"/>
  </sheets>
  <functionGroups builtInGroupCount="17"/>
  <calcPr calcId="145621"/>
</workbook>
</file>

<file path=xl/calcChain.xml><?xml version="1.0" encoding="utf-8"?>
<calcChain xmlns="http://schemas.openxmlformats.org/spreadsheetml/2006/main">
  <c r="C17" i="4" l="1"/>
  <c r="C14" i="4"/>
  <c r="C86" i="5" l="1"/>
  <c r="B89" i="5" s="1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H529" i="12"/>
  <c r="H530" i="12"/>
  <c r="H531" i="12"/>
  <c r="H532" i="12"/>
  <c r="H533" i="12"/>
  <c r="H534" i="12"/>
  <c r="H535" i="12"/>
  <c r="H536" i="12"/>
  <c r="H537" i="12"/>
  <c r="H538" i="12"/>
  <c r="H539" i="12"/>
  <c r="H540" i="12"/>
  <c r="H541" i="12"/>
  <c r="H542" i="12"/>
  <c r="H543" i="12"/>
  <c r="H544" i="12"/>
  <c r="H545" i="12"/>
  <c r="H546" i="12"/>
  <c r="H547" i="12"/>
  <c r="H548" i="12"/>
  <c r="H549" i="12"/>
  <c r="H550" i="12"/>
  <c r="H551" i="12"/>
  <c r="H552" i="12"/>
  <c r="H553" i="12"/>
  <c r="H554" i="12"/>
  <c r="H555" i="12"/>
  <c r="H556" i="12"/>
  <c r="H557" i="12"/>
  <c r="H558" i="12"/>
  <c r="H559" i="12"/>
  <c r="H560" i="12"/>
  <c r="H561" i="12"/>
  <c r="H562" i="12"/>
  <c r="H563" i="12"/>
  <c r="H564" i="12"/>
  <c r="H565" i="12"/>
  <c r="H566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H620" i="12"/>
  <c r="H621" i="12"/>
  <c r="H622" i="12"/>
  <c r="H623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6" i="12"/>
  <c r="H637" i="12"/>
  <c r="H638" i="12"/>
  <c r="H639" i="12"/>
  <c r="H640" i="12"/>
  <c r="H641" i="12"/>
  <c r="H642" i="12"/>
  <c r="H643" i="12"/>
  <c r="H644" i="12"/>
  <c r="H645" i="12"/>
  <c r="H646" i="12"/>
  <c r="H647" i="12"/>
  <c r="H648" i="12"/>
  <c r="H649" i="12"/>
  <c r="H650" i="12"/>
  <c r="H651" i="12"/>
  <c r="H652" i="12"/>
  <c r="H653" i="12"/>
  <c r="H654" i="12"/>
  <c r="H655" i="12"/>
  <c r="H656" i="12"/>
  <c r="H657" i="12"/>
  <c r="H658" i="12"/>
  <c r="H659" i="12"/>
  <c r="H660" i="12"/>
  <c r="H661" i="12"/>
  <c r="H662" i="12"/>
  <c r="H663" i="12"/>
  <c r="H664" i="12"/>
  <c r="H665" i="12"/>
  <c r="H666" i="12"/>
  <c r="H667" i="12"/>
  <c r="H668" i="12"/>
  <c r="H669" i="12"/>
  <c r="H670" i="12"/>
  <c r="H671" i="12"/>
  <c r="H672" i="12"/>
  <c r="H673" i="12"/>
  <c r="H674" i="12"/>
  <c r="H675" i="12"/>
  <c r="H676" i="12"/>
  <c r="H677" i="12"/>
  <c r="H678" i="12"/>
  <c r="H679" i="12"/>
  <c r="H680" i="12"/>
  <c r="H681" i="12"/>
  <c r="H682" i="12"/>
  <c r="H683" i="12"/>
  <c r="H684" i="12"/>
  <c r="H685" i="12"/>
  <c r="H686" i="12"/>
  <c r="H687" i="12"/>
  <c r="H688" i="12"/>
  <c r="H689" i="12"/>
  <c r="H690" i="12"/>
  <c r="H691" i="12"/>
  <c r="H692" i="12"/>
  <c r="H693" i="12"/>
  <c r="H694" i="12"/>
  <c r="H695" i="12"/>
  <c r="H696" i="12"/>
  <c r="H697" i="12"/>
  <c r="H698" i="12"/>
  <c r="H699" i="12"/>
  <c r="H700" i="12"/>
  <c r="H701" i="12"/>
  <c r="H702" i="12"/>
  <c r="H703" i="12"/>
  <c r="H704" i="12"/>
  <c r="H705" i="12"/>
  <c r="H706" i="12"/>
  <c r="H707" i="12"/>
  <c r="H708" i="12"/>
  <c r="H709" i="12"/>
  <c r="H710" i="12"/>
  <c r="H711" i="12"/>
  <c r="H712" i="12"/>
  <c r="H713" i="12"/>
  <c r="H714" i="12"/>
  <c r="H715" i="12"/>
  <c r="H716" i="12"/>
  <c r="H717" i="12"/>
  <c r="H718" i="12"/>
  <c r="H719" i="12"/>
  <c r="H720" i="12"/>
  <c r="H721" i="12"/>
  <c r="H722" i="12"/>
  <c r="H723" i="12"/>
  <c r="H724" i="12"/>
  <c r="H725" i="12"/>
  <c r="H726" i="12"/>
  <c r="H727" i="12"/>
  <c r="H728" i="12"/>
  <c r="H729" i="12"/>
  <c r="H730" i="12"/>
  <c r="H731" i="12"/>
  <c r="H732" i="12"/>
  <c r="H733" i="12"/>
  <c r="H734" i="12"/>
  <c r="H735" i="12"/>
  <c r="H736" i="12"/>
  <c r="H737" i="12"/>
  <c r="H738" i="12"/>
  <c r="H739" i="12"/>
  <c r="H740" i="12"/>
  <c r="H741" i="12"/>
  <c r="H742" i="12"/>
  <c r="H743" i="12"/>
  <c r="H744" i="12"/>
  <c r="H745" i="12"/>
  <c r="H746" i="12"/>
  <c r="H747" i="12"/>
  <c r="H748" i="12"/>
  <c r="H749" i="12"/>
  <c r="H750" i="12"/>
  <c r="H751" i="12"/>
  <c r="H752" i="12"/>
  <c r="H753" i="12"/>
  <c r="H754" i="12"/>
  <c r="H755" i="12"/>
  <c r="H756" i="12"/>
  <c r="H757" i="12"/>
  <c r="H758" i="12"/>
  <c r="H759" i="12"/>
  <c r="H760" i="12"/>
  <c r="H761" i="12"/>
  <c r="H762" i="12"/>
  <c r="H763" i="12"/>
  <c r="H764" i="12"/>
  <c r="H765" i="12"/>
  <c r="H766" i="12"/>
  <c r="H767" i="12"/>
  <c r="H768" i="12"/>
  <c r="H769" i="12"/>
  <c r="H770" i="12"/>
  <c r="H771" i="12"/>
  <c r="H772" i="12"/>
  <c r="H773" i="12"/>
  <c r="H774" i="12"/>
  <c r="H775" i="12"/>
  <c r="H776" i="12"/>
  <c r="H777" i="12"/>
  <c r="H778" i="12"/>
  <c r="H779" i="12"/>
  <c r="H780" i="12"/>
  <c r="H781" i="12"/>
  <c r="H782" i="12"/>
  <c r="H783" i="12"/>
  <c r="H784" i="12"/>
  <c r="H785" i="12"/>
  <c r="H786" i="12"/>
  <c r="H787" i="12"/>
  <c r="H788" i="12"/>
  <c r="H789" i="12"/>
  <c r="H790" i="12"/>
  <c r="H791" i="12"/>
  <c r="H792" i="12"/>
  <c r="H793" i="12"/>
  <c r="H794" i="12"/>
  <c r="H795" i="12"/>
  <c r="H796" i="12"/>
  <c r="H797" i="12"/>
  <c r="H798" i="12"/>
  <c r="H799" i="12"/>
  <c r="H800" i="12"/>
  <c r="H801" i="12"/>
  <c r="H802" i="12"/>
  <c r="H803" i="12"/>
  <c r="H804" i="12"/>
  <c r="H805" i="12"/>
  <c r="H806" i="12"/>
  <c r="H807" i="12"/>
  <c r="H808" i="12"/>
  <c r="H809" i="12"/>
  <c r="H810" i="12"/>
  <c r="H811" i="12"/>
  <c r="H812" i="12"/>
  <c r="H813" i="12"/>
  <c r="H814" i="12"/>
  <c r="H815" i="12"/>
  <c r="H816" i="12"/>
  <c r="H817" i="12"/>
  <c r="H818" i="12"/>
  <c r="H819" i="12"/>
  <c r="H820" i="12"/>
  <c r="H821" i="12"/>
  <c r="H822" i="12"/>
  <c r="H823" i="12"/>
  <c r="H824" i="12"/>
  <c r="H825" i="12"/>
  <c r="H826" i="12"/>
  <c r="H827" i="12"/>
  <c r="H828" i="12"/>
  <c r="H829" i="12"/>
  <c r="H830" i="12"/>
  <c r="H831" i="12"/>
  <c r="H832" i="12"/>
  <c r="H833" i="12"/>
  <c r="H834" i="12"/>
  <c r="H835" i="12"/>
  <c r="H836" i="12"/>
  <c r="H837" i="12"/>
  <c r="H838" i="12"/>
  <c r="H839" i="12"/>
  <c r="H840" i="12"/>
  <c r="H841" i="12"/>
  <c r="H842" i="12"/>
  <c r="H843" i="12"/>
  <c r="H844" i="12"/>
  <c r="H845" i="12"/>
  <c r="H846" i="12"/>
  <c r="H847" i="12"/>
  <c r="H848" i="12"/>
  <c r="H849" i="12"/>
  <c r="H850" i="12"/>
  <c r="H851" i="12"/>
  <c r="H852" i="12"/>
  <c r="H853" i="12"/>
  <c r="H854" i="12"/>
  <c r="H855" i="12"/>
  <c r="H856" i="12"/>
  <c r="H857" i="12"/>
  <c r="H858" i="12"/>
  <c r="H859" i="12"/>
  <c r="H860" i="12"/>
  <c r="H861" i="12"/>
  <c r="H862" i="12"/>
  <c r="H863" i="12"/>
  <c r="H864" i="12"/>
  <c r="H865" i="12"/>
  <c r="H866" i="12"/>
  <c r="H867" i="12"/>
  <c r="H868" i="12"/>
  <c r="H869" i="12"/>
  <c r="H870" i="12"/>
  <c r="H871" i="12"/>
  <c r="H872" i="12"/>
  <c r="H873" i="12"/>
  <c r="H874" i="12"/>
  <c r="H875" i="12"/>
  <c r="H876" i="12"/>
  <c r="H877" i="12"/>
  <c r="H878" i="12"/>
  <c r="H879" i="12"/>
  <c r="H880" i="12"/>
  <c r="H881" i="12"/>
  <c r="H882" i="12"/>
  <c r="H883" i="12"/>
  <c r="H884" i="12"/>
  <c r="H885" i="12"/>
  <c r="H886" i="12"/>
  <c r="H887" i="12"/>
  <c r="H888" i="12"/>
  <c r="H889" i="12"/>
  <c r="H890" i="12"/>
  <c r="H891" i="12"/>
  <c r="H892" i="12"/>
  <c r="H893" i="12"/>
  <c r="H894" i="12"/>
  <c r="H895" i="12"/>
  <c r="H896" i="12"/>
  <c r="H897" i="12"/>
  <c r="H898" i="12"/>
  <c r="H899" i="12"/>
  <c r="H900" i="12"/>
  <c r="H901" i="12"/>
  <c r="H902" i="12"/>
  <c r="H903" i="12"/>
  <c r="H904" i="12"/>
  <c r="H905" i="12"/>
  <c r="H906" i="12"/>
  <c r="H907" i="12"/>
  <c r="H908" i="12"/>
  <c r="H909" i="12"/>
  <c r="H910" i="12"/>
  <c r="H911" i="12"/>
  <c r="H912" i="12"/>
  <c r="H913" i="12"/>
  <c r="H914" i="12"/>
  <c r="H915" i="12"/>
  <c r="H916" i="12"/>
  <c r="H917" i="12"/>
  <c r="H918" i="12"/>
  <c r="H919" i="12"/>
  <c r="H920" i="12"/>
  <c r="H921" i="12"/>
  <c r="H922" i="12"/>
  <c r="H923" i="12"/>
  <c r="H924" i="12"/>
  <c r="H925" i="12"/>
  <c r="H926" i="12"/>
  <c r="H927" i="12"/>
  <c r="H928" i="12"/>
  <c r="H929" i="12"/>
  <c r="H930" i="12"/>
  <c r="H931" i="12"/>
  <c r="H932" i="12"/>
  <c r="H933" i="12"/>
  <c r="H934" i="12"/>
  <c r="H935" i="12"/>
  <c r="H936" i="12"/>
  <c r="H937" i="12"/>
  <c r="H938" i="12"/>
  <c r="H939" i="12"/>
  <c r="H940" i="12"/>
  <c r="H941" i="12"/>
  <c r="H942" i="12"/>
  <c r="H943" i="12"/>
  <c r="H944" i="12"/>
  <c r="H945" i="12"/>
  <c r="H946" i="12"/>
  <c r="H947" i="12"/>
  <c r="H948" i="12"/>
  <c r="H949" i="12"/>
  <c r="H950" i="12"/>
  <c r="H951" i="12"/>
  <c r="H952" i="12"/>
  <c r="H953" i="12"/>
  <c r="H954" i="12"/>
  <c r="H955" i="12"/>
  <c r="H956" i="12"/>
  <c r="H957" i="12"/>
  <c r="H958" i="12"/>
  <c r="H959" i="12"/>
  <c r="H960" i="12"/>
  <c r="H961" i="12"/>
  <c r="H962" i="12"/>
  <c r="H963" i="12"/>
  <c r="H964" i="12"/>
  <c r="H965" i="12"/>
  <c r="H966" i="12"/>
  <c r="H967" i="12"/>
  <c r="H968" i="12"/>
  <c r="H969" i="12"/>
  <c r="H970" i="12"/>
  <c r="H971" i="12"/>
  <c r="H972" i="12"/>
  <c r="H973" i="12"/>
  <c r="H974" i="12"/>
  <c r="H975" i="12"/>
  <c r="H976" i="12"/>
  <c r="H977" i="12"/>
  <c r="H978" i="12"/>
  <c r="H979" i="12"/>
  <c r="H980" i="12"/>
  <c r="H981" i="12"/>
  <c r="H982" i="12"/>
  <c r="H983" i="12"/>
  <c r="H984" i="12"/>
  <c r="H985" i="12"/>
  <c r="H986" i="12"/>
  <c r="H987" i="12"/>
  <c r="H988" i="12"/>
  <c r="H989" i="12"/>
  <c r="H990" i="12"/>
  <c r="H991" i="12"/>
  <c r="H992" i="12"/>
  <c r="H993" i="12"/>
  <c r="H994" i="12"/>
  <c r="H995" i="12"/>
  <c r="H996" i="12"/>
  <c r="H997" i="12"/>
  <c r="H998" i="12"/>
  <c r="H999" i="12"/>
  <c r="H1000" i="12"/>
  <c r="H1001" i="12"/>
  <c r="H1002" i="12"/>
  <c r="H1003" i="12"/>
  <c r="H1004" i="12"/>
  <c r="H1005" i="12"/>
  <c r="H1006" i="12"/>
  <c r="H1007" i="12"/>
  <c r="H1008" i="12"/>
  <c r="H1009" i="12"/>
  <c r="H1010" i="12"/>
  <c r="H1011" i="12"/>
  <c r="H1012" i="12"/>
  <c r="H1013" i="12"/>
  <c r="H1014" i="12"/>
  <c r="H1015" i="12"/>
  <c r="H1016" i="12"/>
  <c r="H1017" i="12"/>
  <c r="H1018" i="12"/>
  <c r="H1019" i="12"/>
  <c r="H1020" i="12"/>
  <c r="H1021" i="12"/>
  <c r="H1022" i="12"/>
  <c r="H1023" i="12"/>
  <c r="H1024" i="12"/>
  <c r="H1025" i="12"/>
  <c r="H1026" i="12"/>
  <c r="H1027" i="12"/>
  <c r="H1028" i="12"/>
  <c r="H1029" i="12"/>
  <c r="H1030" i="12"/>
  <c r="H1031" i="12"/>
  <c r="H1032" i="12"/>
  <c r="H1033" i="12"/>
  <c r="H1034" i="12"/>
  <c r="H1035" i="12"/>
  <c r="H1036" i="12"/>
  <c r="H1037" i="12"/>
  <c r="H1038" i="12"/>
  <c r="H1039" i="12"/>
  <c r="H1040" i="12"/>
  <c r="H1041" i="12"/>
  <c r="H1042" i="12"/>
  <c r="H1043" i="12"/>
  <c r="H1044" i="12"/>
  <c r="H1045" i="12"/>
  <c r="H1046" i="12"/>
  <c r="H1047" i="12"/>
  <c r="H1048" i="12"/>
  <c r="H1049" i="12"/>
  <c r="H1050" i="12"/>
  <c r="H1051" i="12"/>
  <c r="H1052" i="12"/>
  <c r="H1053" i="12"/>
  <c r="H1054" i="12"/>
  <c r="H1055" i="12"/>
  <c r="H1056" i="12"/>
  <c r="H1057" i="12"/>
  <c r="H1058" i="12"/>
  <c r="H1059" i="12"/>
  <c r="H1060" i="12"/>
  <c r="H1061" i="12"/>
  <c r="H1062" i="12"/>
  <c r="H1063" i="12"/>
  <c r="H1064" i="12"/>
  <c r="H1065" i="12"/>
  <c r="H1066" i="12"/>
  <c r="H1067" i="12"/>
  <c r="H1068" i="12"/>
  <c r="H1069" i="12"/>
  <c r="H1070" i="12"/>
  <c r="H1071" i="12"/>
  <c r="H1072" i="12"/>
  <c r="H1073" i="12"/>
  <c r="H1074" i="12"/>
  <c r="H1075" i="12"/>
  <c r="H1076" i="12"/>
  <c r="H1077" i="12"/>
  <c r="H1078" i="12"/>
  <c r="H1079" i="12"/>
  <c r="H1080" i="12"/>
  <c r="H1081" i="12"/>
  <c r="H1082" i="12"/>
  <c r="H1083" i="12"/>
  <c r="H1084" i="12"/>
  <c r="H1085" i="12"/>
  <c r="H1086" i="12"/>
  <c r="H1087" i="12"/>
  <c r="H1088" i="12"/>
  <c r="H1089" i="12"/>
  <c r="H1090" i="12"/>
  <c r="H1091" i="12"/>
  <c r="H1092" i="12"/>
  <c r="H1093" i="12"/>
  <c r="H1094" i="12"/>
  <c r="H1095" i="12"/>
  <c r="H1096" i="12"/>
  <c r="H1097" i="12"/>
  <c r="H1098" i="12"/>
  <c r="H1099" i="12"/>
  <c r="H1100" i="12"/>
  <c r="H1101" i="12"/>
  <c r="H1102" i="12"/>
  <c r="H1103" i="12"/>
  <c r="H1104" i="12"/>
  <c r="H1105" i="12"/>
  <c r="H1106" i="12"/>
  <c r="H1107" i="12"/>
  <c r="H1108" i="12"/>
  <c r="H1109" i="12"/>
  <c r="H1110" i="12"/>
  <c r="H1111" i="12"/>
  <c r="H1112" i="12"/>
  <c r="H1113" i="12"/>
  <c r="H1114" i="12"/>
  <c r="H1115" i="12"/>
  <c r="H1116" i="12"/>
  <c r="H1117" i="12"/>
  <c r="H1118" i="12"/>
  <c r="H1119" i="12"/>
  <c r="H1120" i="12"/>
  <c r="H1121" i="12"/>
  <c r="H1122" i="12"/>
  <c r="H1123" i="12"/>
  <c r="H1124" i="12"/>
  <c r="H1125" i="12"/>
  <c r="H1126" i="12"/>
  <c r="H1127" i="12"/>
  <c r="H1128" i="12"/>
  <c r="H1129" i="12"/>
  <c r="H1130" i="12"/>
  <c r="H1131" i="12"/>
  <c r="H1132" i="12"/>
  <c r="H1133" i="12"/>
  <c r="H1134" i="12"/>
  <c r="H1135" i="12"/>
  <c r="H1136" i="12"/>
  <c r="H1137" i="12"/>
  <c r="H1138" i="12"/>
  <c r="H1139" i="12"/>
  <c r="H1140" i="12"/>
  <c r="H1141" i="12"/>
  <c r="H1142" i="12"/>
  <c r="H1143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1001" i="12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" i="12"/>
  <c r="D26" i="5"/>
  <c r="D25" i="5"/>
  <c r="D21" i="5"/>
  <c r="D22" i="5"/>
  <c r="D23" i="5"/>
  <c r="D24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7" i="5"/>
  <c r="D28" i="5"/>
  <c r="D29" i="5"/>
  <c r="D30" i="5"/>
  <c r="D7" i="5"/>
  <c r="H48" i="1"/>
  <c r="H49" i="1"/>
  <c r="H50" i="1"/>
  <c r="H51" i="1"/>
  <c r="H52" i="1"/>
  <c r="H53" i="1"/>
  <c r="H54" i="1"/>
  <c r="H55" i="1"/>
  <c r="H56" i="1"/>
  <c r="H47" i="1"/>
  <c r="H104" i="1"/>
  <c r="H105" i="1"/>
  <c r="H106" i="1"/>
  <c r="H107" i="1"/>
  <c r="H108" i="1"/>
  <c r="H109" i="1"/>
  <c r="H110" i="1"/>
  <c r="H111" i="1"/>
  <c r="H112" i="1"/>
  <c r="H103" i="1"/>
  <c r="D104" i="1"/>
  <c r="D105" i="1"/>
  <c r="D106" i="1"/>
  <c r="D107" i="1"/>
  <c r="D108" i="1"/>
  <c r="D109" i="1"/>
  <c r="D110" i="1"/>
  <c r="D111" i="1"/>
  <c r="D112" i="1"/>
  <c r="D103" i="1"/>
  <c r="H90" i="1"/>
  <c r="H91" i="1"/>
  <c r="H92" i="1"/>
  <c r="H93" i="1"/>
  <c r="H94" i="1"/>
  <c r="H95" i="1"/>
  <c r="H96" i="1"/>
  <c r="H97" i="1"/>
  <c r="H98" i="1"/>
  <c r="H89" i="1"/>
  <c r="D90" i="1"/>
  <c r="D91" i="1"/>
  <c r="D92" i="1"/>
  <c r="D93" i="1"/>
  <c r="D94" i="1"/>
  <c r="D95" i="1"/>
  <c r="D96" i="1"/>
  <c r="D97" i="1"/>
  <c r="D98" i="1"/>
  <c r="D89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61" i="1"/>
  <c r="D52" i="1"/>
  <c r="D34" i="1"/>
  <c r="D39" i="1"/>
  <c r="C86" i="1"/>
  <c r="C85" i="1" s="1"/>
  <c r="D85" i="1" s="1"/>
  <c r="G86" i="1"/>
  <c r="G85" i="1" s="1"/>
  <c r="H85" i="1" s="1"/>
  <c r="D33" i="1"/>
  <c r="D38" i="1"/>
  <c r="D56" i="1"/>
  <c r="D51" i="1"/>
  <c r="H34" i="1"/>
  <c r="D35" i="1"/>
  <c r="D48" i="1"/>
  <c r="H42" i="1"/>
  <c r="H33" i="1"/>
  <c r="D49" i="1"/>
  <c r="D53" i="1"/>
  <c r="D47" i="1"/>
  <c r="D37" i="1"/>
  <c r="D41" i="1"/>
  <c r="C44" i="1"/>
  <c r="C43" i="1" s="1"/>
  <c r="D43" i="1" s="1"/>
  <c r="C58" i="1"/>
  <c r="C57" i="1" s="1"/>
  <c r="D57" i="1" s="1"/>
  <c r="D40" i="1"/>
  <c r="D54" i="1"/>
  <c r="G58" i="1"/>
  <c r="G57" i="1" s="1"/>
  <c r="H57" i="1" s="1"/>
  <c r="C30" i="1"/>
  <c r="D42" i="1"/>
  <c r="D36" i="1"/>
  <c r="D55" i="1"/>
  <c r="D50" i="1"/>
  <c r="H41" i="1"/>
  <c r="G10" i="1"/>
  <c r="H6" i="1" s="1"/>
  <c r="C10" i="1"/>
  <c r="D5" i="1" s="1"/>
  <c r="G44" i="1"/>
  <c r="G43" i="1" s="1"/>
  <c r="H43" i="1" s="1"/>
  <c r="G36" i="1"/>
  <c r="G114" i="1"/>
  <c r="G113" i="1" s="1"/>
  <c r="H113" i="1" s="1"/>
  <c r="G100" i="1"/>
  <c r="G99" i="1" s="1"/>
  <c r="H99" i="1" s="1"/>
  <c r="C114" i="1"/>
  <c r="C113" i="1" s="1"/>
  <c r="D113" i="1" s="1"/>
  <c r="C100" i="1"/>
  <c r="C99" i="1" s="1"/>
  <c r="D99" i="1" s="1"/>
  <c r="G30" i="1"/>
  <c r="J6" i="1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Y6" i="11" s="1"/>
  <c r="Z6" i="11" s="1"/>
  <c r="AA6" i="11" s="1"/>
  <c r="AB6" i="11" s="1"/>
  <c r="AC6" i="11" s="1"/>
  <c r="AD6" i="11" s="1"/>
  <c r="AE6" i="11" s="1"/>
  <c r="D89" i="5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H22" i="1" l="1"/>
  <c r="H26" i="1"/>
  <c r="H23" i="1"/>
  <c r="H27" i="1"/>
  <c r="H20" i="1"/>
  <c r="H24" i="1"/>
  <c r="H28" i="1"/>
  <c r="H21" i="1"/>
  <c r="H25" i="1"/>
  <c r="D20" i="1"/>
  <c r="D24" i="1"/>
  <c r="D28" i="1"/>
  <c r="D21" i="1"/>
  <c r="D25" i="1"/>
  <c r="D22" i="1"/>
  <c r="D26" i="1"/>
  <c r="D23" i="1"/>
  <c r="D27" i="1"/>
  <c r="G35" i="1"/>
  <c r="H35" i="1" s="1"/>
  <c r="H36" i="1" s="1"/>
  <c r="G29" i="1"/>
  <c r="H29" i="1" s="1"/>
  <c r="H19" i="1"/>
  <c r="C29" i="1"/>
  <c r="D29" i="1" s="1"/>
  <c r="D19" i="1"/>
  <c r="B90" i="5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H5" i="1"/>
  <c r="H9" i="1"/>
  <c r="H7" i="1"/>
  <c r="H8" i="1"/>
  <c r="D6" i="1"/>
  <c r="D8" i="1"/>
  <c r="D7" i="1"/>
  <c r="D9" i="1"/>
  <c r="D114" i="1"/>
  <c r="H58" i="1"/>
  <c r="D86" i="1"/>
  <c r="D58" i="1"/>
  <c r="H100" i="1"/>
  <c r="D100" i="1"/>
  <c r="H114" i="1"/>
  <c r="D44" i="1"/>
  <c r="H86" i="1"/>
  <c r="H44" i="1"/>
  <c r="D30" i="1" l="1"/>
  <c r="H30" i="1"/>
  <c r="D10" i="1"/>
  <c r="H10" i="1"/>
</calcChain>
</file>

<file path=xl/sharedStrings.xml><?xml version="1.0" encoding="utf-8"?>
<sst xmlns="http://schemas.openxmlformats.org/spreadsheetml/2006/main" count="222" uniqueCount="142">
  <si>
    <t>Overall Summary</t>
  </si>
  <si>
    <t>Project Summary</t>
  </si>
  <si>
    <t>Project GUID</t>
  </si>
  <si>
    <t>Build</t>
  </si>
  <si>
    <t>Total Sessions</t>
  </si>
  <si>
    <t>Operating System</t>
  </si>
  <si>
    <t>Windows XP</t>
  </si>
  <si>
    <t>Windows 7 / 2008 R2</t>
  </si>
  <si>
    <t>Windows Vista / 2008</t>
  </si>
  <si>
    <t>Unique Users</t>
  </si>
  <si>
    <t>First session</t>
  </si>
  <si>
    <t>Windows 2000</t>
  </si>
  <si>
    <t>Most recent .NET framework installed</t>
  </si>
  <si>
    <t>Windows 2003</t>
  </si>
  <si>
    <t>Total:</t>
  </si>
  <si>
    <t>Time of day</t>
  </si>
  <si>
    <t>Mean sessions per day per user</t>
  </si>
  <si>
    <t>Usages</t>
  </si>
  <si>
    <t>Day of week</t>
  </si>
  <si>
    <t>Monday</t>
  </si>
  <si>
    <t>Tuesday</t>
  </si>
  <si>
    <t>Wednesday</t>
  </si>
  <si>
    <t>Thursday</t>
  </si>
  <si>
    <t>Friday</t>
  </si>
  <si>
    <t>Saturday</t>
  </si>
  <si>
    <t>Sunday</t>
  </si>
  <si>
    <t>Most recent session</t>
  </si>
  <si>
    <t>Total unique users</t>
  </si>
  <si>
    <t>% Users</t>
  </si>
  <si>
    <t>Total Usages</t>
  </si>
  <si>
    <t>Users</t>
  </si>
  <si>
    <t>501 or more</t>
  </si>
  <si>
    <t>User System</t>
  </si>
  <si>
    <t>Build date</t>
  </si>
  <si>
    <t>Mean total sessions per day</t>
  </si>
  <si>
    <t>Build version</t>
  </si>
  <si>
    <t>Mean sessions per day per active user</t>
  </si>
  <si>
    <t>Mean duration of active use (days)</t>
  </si>
  <si>
    <t>Latest builds:</t>
  </si>
  <si>
    <t>Most popular culture name</t>
  </si>
  <si>
    <t>Most popular culture LCID</t>
  </si>
  <si>
    <t>C:\ProgramData\Red Gate\SmartAssembly\database.mdb</t>
  </si>
  <si>
    <t>Total feature usages</t>
  </si>
  <si>
    <t>Total features</t>
  </si>
  <si>
    <t xml:space="preserve">   Please select whether your data is on a SQL Server or in an MDB file.  If you do not know, look in SmartAssembly under 'Options'</t>
  </si>
  <si>
    <t>Usage Times</t>
  </si>
  <si>
    <t>Day</t>
  </si>
  <si>
    <t>Projects for which feature reporting data is available:</t>
  </si>
  <si>
    <t>Select Project:</t>
  </si>
  <si>
    <t>Project Name</t>
  </si>
  <si>
    <t>Project Guid</t>
  </si>
  <si>
    <t>Time of day that sessions occurred</t>
  </si>
  <si>
    <t>Day of week that sessions occurred</t>
  </si>
  <si>
    <t>Median total sessions per user</t>
  </si>
  <si>
    <t>Mean total sessions per user</t>
  </si>
  <si>
    <t>History of sessions occurring</t>
  </si>
  <si>
    <t>Features</t>
  </si>
  <si>
    <t>ID</t>
  </si>
  <si>
    <t>Individual Features Stats</t>
  </si>
  <si>
    <t>Executing program bitness</t>
  </si>
  <si>
    <t>Total Physical Memory</t>
  </si>
  <si>
    <t>OS bitness</t>
  </si>
  <si>
    <t>Number of monitors</t>
  </si>
  <si>
    <t>Number of CPU Cores</t>
  </si>
  <si>
    <t>UTC offset</t>
  </si>
  <si>
    <t>Installed UI culture LCID</t>
  </si>
  <si>
    <t>Installed UI culture name</t>
  </si>
  <si>
    <t>UI culture name</t>
  </si>
  <si>
    <t>UI culture LCID</t>
  </si>
  <si>
    <t>Build Version</t>
  </si>
  <si>
    <t>Build Date</t>
  </si>
  <si>
    <t>Assembly ID</t>
  </si>
  <si>
    <t>Build usage over time (total usages to date since previous date)</t>
  </si>
  <si>
    <t xml:space="preserve">10 Most popular builds: </t>
  </si>
  <si>
    <t>Primary monitor resolution</t>
  </si>
  <si>
    <t>.NET 4</t>
  </si>
  <si>
    <t>.NET 3.5</t>
  </si>
  <si>
    <t>.NET 3.0</t>
  </si>
  <si>
    <t>.NET 2.0</t>
  </si>
  <si>
    <t>.NET 1.1</t>
  </si>
  <si>
    <t>Sessions used in</t>
  </si>
  <si>
    <t>Total usages</t>
  </si>
  <si>
    <t>Feature Name</t>
  </si>
  <si>
    <t>First build seen in</t>
  </si>
  <si>
    <t>Most Recent build seen in</t>
  </si>
  <si>
    <t>% of all sessions used in</t>
  </si>
  <si>
    <t>Mean Usages in a session, if used</t>
  </si>
  <si>
    <t>Sort:</t>
  </si>
  <si>
    <t>Max usages in a  session</t>
  </si>
  <si>
    <t>Total sessions</t>
  </si>
  <si>
    <t>Unique Users used by</t>
  </si>
  <si>
    <t>SmartAssembly.ReportUsage.PlatformData.ReportTheme() or SmartAssembly.ReportUsage.PlatformData.ReportAll()</t>
  </si>
  <si>
    <t>51 - 500</t>
  </si>
  <si>
    <t>21-30</t>
  </si>
  <si>
    <t>31-50</t>
  </si>
  <si>
    <t>Build Assembly GUID</t>
  </si>
  <si>
    <t>% of all users used by</t>
  </si>
  <si>
    <t>all statistics will be filtered by this build, where appropriate</t>
  </si>
  <si>
    <t>Mean of how long it is from first to final usage over all users</t>
  </si>
  <si>
    <t>How many times a day a user uses the product, from his/her first usage to his/her most recent usage of it</t>
  </si>
  <si>
    <t>Number of usages by individual users.  This shows the total number times a given user uses the software</t>
  </si>
  <si>
    <t>Windows Authentication will be used to connect to this server</t>
  </si>
  <si>
    <t>This lists aggregated statistics from feature reports returned by your users about the features they used, and statistics derived from these data.</t>
  </si>
  <si>
    <t>The date of the most recent session.  Bear in mind, this may be in the future due to people changing their clocks.</t>
  </si>
  <si>
    <t>The mean number of times the application is run in a day, over all users</t>
  </si>
  <si>
    <t>The mean number of times each user runs the software per day</t>
  </si>
  <si>
    <t>IP Filtering</t>
  </si>
  <si>
    <t xml:space="preserve">IP Hashes to filter </t>
  </si>
  <si>
    <t>The date of the first session.</t>
  </si>
  <si>
    <t>Total runs of the application by your users.</t>
  </si>
  <si>
    <t>Standard Deviation of Usages per session</t>
  </si>
  <si>
    <t>The data below can be collected by referencing ReportUsage.dll in the SmartAssembly folder, and making static calls such as:</t>
  </si>
  <si>
    <t>Negative numbers in the 'other' column usually indicate that a some users have used the software on various platforms, so are counted many times</t>
  </si>
  <si>
    <t>Usages in Period</t>
  </si>
  <si>
    <t>Unknown:</t>
  </si>
  <si>
    <t>Other/unknown:</t>
  </si>
  <si>
    <t>Time step (days):</t>
  </si>
  <si>
    <t>Total number of unique users who have submitted reports.  Research shows about 1/3 of users opt-in when prompted.</t>
  </si>
  <si>
    <t>Please enter the step size that will be used to generate the table and graph, then click 'Refresh Sheet'</t>
  </si>
  <si>
    <t>Versions</t>
  </si>
  <si>
    <t>Percent</t>
  </si>
  <si>
    <t>Months to view:</t>
  </si>
  <si>
    <t>Start date:</t>
  </si>
  <si>
    <t>Start/End Date</t>
  </si>
  <si>
    <t>Total Features Counted</t>
  </si>
  <si>
    <t>Features counted in product/build</t>
  </si>
  <si>
    <t>Total feature usage projects</t>
  </si>
  <si>
    <t>This is the standard location of the database.  It may be in another location.</t>
  </si>
  <si>
    <t>BP4520s</t>
  </si>
  <si>
    <t>DevGrep</t>
  </si>
  <si>
    <t>{ADCA81DD-1451-495B-905F-8C012FDDBAB4}</t>
  </si>
  <si>
    <t>{51f9eef5-26de-55ae-51f9-a4cbcb8a82aa}</t>
  </si>
  <si>
    <t>1.7.104.0</t>
  </si>
  <si>
    <t>{E1B75F07-4863-4FAC-BA99-696C37B713F1}</t>
  </si>
  <si>
    <t>Duplicate Scanner</t>
  </si>
  <si>
    <t>Platform: .NET 4.0 installed</t>
  </si>
  <si>
    <t>Platform: Windows 7/2008 R2</t>
  </si>
  <si>
    <t>Platform CPU Cores: 4</t>
  </si>
  <si>
    <t>Platform Culture Name: en-US</t>
  </si>
  <si>
    <t>Platform OS Bitness: 64</t>
  </si>
  <si>
    <t>User:|Brian|bp4520s|BP4520S|Brian</t>
  </si>
  <si>
    <t>en-US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</si>
</sst>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dd/mm/yyyy;@"/>
    <numFmt numFmtId="166" formatCode="0.000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164" fontId="0" fillId="2" borderId="0" xfId="0" applyNumberFormat="1" applyFill="1"/>
    <xf numFmtId="0" fontId="3" fillId="2" borderId="1" xfId="0" applyFont="1" applyFill="1" applyBorder="1"/>
    <xf numFmtId="0" fontId="3" fillId="2" borderId="2" xfId="0" applyFont="1" applyFill="1" applyBorder="1"/>
    <xf numFmtId="0" fontId="0" fillId="2" borderId="3" xfId="0" applyFill="1" applyBorder="1"/>
    <xf numFmtId="0" fontId="3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64" fontId="0" fillId="2" borderId="8" xfId="0" applyNumberFormat="1" applyFill="1" applyBorder="1"/>
    <xf numFmtId="0" fontId="0" fillId="3" borderId="0" xfId="0" applyFill="1"/>
    <xf numFmtId="0" fontId="0" fillId="0" borderId="0" xfId="0" applyBorder="1"/>
    <xf numFmtId="0" fontId="0" fillId="3" borderId="3" xfId="0" applyFill="1" applyBorder="1"/>
    <xf numFmtId="0" fontId="0" fillId="4" borderId="0" xfId="0" applyFill="1"/>
    <xf numFmtId="0" fontId="0" fillId="5" borderId="1" xfId="0" applyFill="1" applyBorder="1"/>
    <xf numFmtId="0" fontId="3" fillId="3" borderId="3" xfId="0" applyFont="1" applyFill="1" applyBorder="1"/>
    <xf numFmtId="0" fontId="3" fillId="5" borderId="1" xfId="0" applyFont="1" applyFill="1" applyBorder="1"/>
    <xf numFmtId="0" fontId="3" fillId="5" borderId="2" xfId="0" applyFont="1" applyFill="1" applyBorder="1"/>
    <xf numFmtId="0" fontId="3" fillId="5" borderId="4" xfId="0" applyFont="1" applyFill="1" applyBorder="1"/>
    <xf numFmtId="20" fontId="3" fillId="4" borderId="2" xfId="0" applyNumberFormat="1" applyFont="1" applyFill="1" applyBorder="1"/>
    <xf numFmtId="0" fontId="3" fillId="4" borderId="1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5" fillId="4" borderId="3" xfId="0" applyFont="1" applyFill="1" applyBorder="1"/>
    <xf numFmtId="20" fontId="5" fillId="4" borderId="3" xfId="0" applyNumberFormat="1" applyFont="1" applyFill="1" applyBorder="1"/>
    <xf numFmtId="0" fontId="5" fillId="5" borderId="5" xfId="0" applyFont="1" applyFill="1" applyBorder="1"/>
    <xf numFmtId="0" fontId="5" fillId="5" borderId="0" xfId="0" applyFont="1" applyFill="1"/>
    <xf numFmtId="0" fontId="6" fillId="3" borderId="0" xfId="0" applyFont="1" applyFill="1"/>
    <xf numFmtId="0" fontId="7" fillId="3" borderId="0" xfId="0" applyFont="1" applyFill="1"/>
    <xf numFmtId="0" fontId="0" fillId="5" borderId="2" xfId="0" applyFill="1" applyBorder="1"/>
    <xf numFmtId="49" fontId="0" fillId="5" borderId="3" xfId="0" applyNumberFormat="1" applyFill="1" applyBorder="1" applyAlignment="1">
      <alignment horizontal="right"/>
    </xf>
    <xf numFmtId="14" fontId="0" fillId="0" borderId="0" xfId="0" applyNumberFormat="1"/>
    <xf numFmtId="0" fontId="0" fillId="6" borderId="0" xfId="0" applyFill="1"/>
    <xf numFmtId="14" fontId="0" fillId="6" borderId="0" xfId="0" applyNumberFormat="1" applyFill="1"/>
    <xf numFmtId="0" fontId="3" fillId="6" borderId="1" xfId="0" applyFont="1" applyFill="1" applyBorder="1"/>
    <xf numFmtId="0" fontId="8" fillId="6" borderId="0" xfId="0" applyFont="1" applyFill="1"/>
    <xf numFmtId="0" fontId="4" fillId="6" borderId="1" xfId="0" applyFont="1" applyFill="1" applyBorder="1"/>
    <xf numFmtId="165" fontId="3" fillId="6" borderId="1" xfId="0" applyNumberFormat="1" applyFont="1" applyFill="1" applyBorder="1"/>
    <xf numFmtId="0" fontId="8" fillId="0" borderId="0" xfId="0" applyFont="1" applyFill="1"/>
    <xf numFmtId="0" fontId="0" fillId="2" borderId="0" xfId="0" applyFill="1" applyBorder="1"/>
    <xf numFmtId="0" fontId="0" fillId="2" borderId="4" xfId="0" applyFill="1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 applyFill="1" applyBorder="1"/>
    <xf numFmtId="0" fontId="0" fillId="3" borderId="7" xfId="0" applyFill="1" applyBorder="1"/>
    <xf numFmtId="0" fontId="8" fillId="3" borderId="6" xfId="0" applyFont="1" applyFill="1" applyBorder="1"/>
    <xf numFmtId="0" fontId="0" fillId="3" borderId="5" xfId="0" applyFill="1" applyBorder="1"/>
    <xf numFmtId="0" fontId="0" fillId="3" borderId="2" xfId="0" applyFill="1" applyBorder="1"/>
    <xf numFmtId="14" fontId="0" fillId="3" borderId="5" xfId="0" applyNumberFormat="1" applyFill="1" applyBorder="1"/>
    <xf numFmtId="14" fontId="0" fillId="3" borderId="4" xfId="0" applyNumberFormat="1" applyFill="1" applyBorder="1"/>
    <xf numFmtId="1" fontId="8" fillId="4" borderId="0" xfId="0" applyNumberFormat="1" applyFont="1" applyFill="1"/>
    <xf numFmtId="0" fontId="9" fillId="7" borderId="0" xfId="0" applyFont="1" applyFill="1"/>
    <xf numFmtId="0" fontId="0" fillId="7" borderId="0" xfId="0" applyFill="1"/>
    <xf numFmtId="0" fontId="0" fillId="8" borderId="0" xfId="0" applyFill="1"/>
    <xf numFmtId="0" fontId="1" fillId="8" borderId="0" xfId="0" applyFont="1" applyFill="1"/>
    <xf numFmtId="0" fontId="10" fillId="8" borderId="0" xfId="0" applyFont="1" applyFill="1"/>
    <xf numFmtId="0" fontId="3" fillId="9" borderId="0" xfId="0" applyFont="1" applyFill="1"/>
    <xf numFmtId="0" fontId="0" fillId="9" borderId="0" xfId="0" applyFill="1"/>
    <xf numFmtId="0" fontId="0" fillId="2" borderId="7" xfId="0" applyNumberFormat="1" applyFill="1" applyBorder="1"/>
    <xf numFmtId="0" fontId="11" fillId="0" borderId="0" xfId="0" applyFont="1" applyFill="1" applyBorder="1"/>
    <xf numFmtId="0" fontId="4" fillId="10" borderId="9" xfId="0" applyFont="1" applyFill="1" applyBorder="1"/>
    <xf numFmtId="0" fontId="12" fillId="10" borderId="10" xfId="0" applyFont="1" applyFill="1" applyBorder="1"/>
    <xf numFmtId="0" fontId="2" fillId="11" borderId="0" xfId="0" applyFont="1" applyFill="1"/>
    <xf numFmtId="0" fontId="1" fillId="11" borderId="0" xfId="0" applyFont="1" applyFill="1"/>
    <xf numFmtId="0" fontId="2" fillId="11" borderId="0" xfId="0" applyFont="1" applyFill="1" applyBorder="1"/>
    <xf numFmtId="0" fontId="1" fillId="11" borderId="0" xfId="0" applyFont="1" applyFill="1" applyBorder="1"/>
    <xf numFmtId="0" fontId="0" fillId="4" borderId="9" xfId="0" applyFill="1" applyBorder="1"/>
    <xf numFmtId="2" fontId="0" fillId="4" borderId="9" xfId="0" applyNumberFormat="1" applyFill="1" applyBorder="1"/>
    <xf numFmtId="0" fontId="0" fillId="4" borderId="10" xfId="0" applyFill="1" applyBorder="1"/>
    <xf numFmtId="0" fontId="0" fillId="0" borderId="9" xfId="0" applyBorder="1"/>
    <xf numFmtId="0" fontId="0" fillId="5" borderId="3" xfId="0" applyFill="1" applyBorder="1"/>
    <xf numFmtId="14" fontId="0" fillId="5" borderId="3" xfId="0" applyNumberFormat="1" applyFill="1" applyBorder="1"/>
    <xf numFmtId="0" fontId="13" fillId="5" borderId="3" xfId="0" applyFont="1" applyFill="1" applyBorder="1"/>
    <xf numFmtId="0" fontId="14" fillId="5" borderId="3" xfId="0" applyFont="1" applyFill="1" applyBorder="1"/>
    <xf numFmtId="164" fontId="0" fillId="2" borderId="0" xfId="0" applyNumberFormat="1" applyFill="1" applyBorder="1"/>
    <xf numFmtId="0" fontId="4" fillId="6" borderId="2" xfId="0" applyFont="1" applyFill="1" applyBorder="1"/>
    <xf numFmtId="0" fontId="8" fillId="6" borderId="3" xfId="0" applyFont="1" applyFill="1" applyBorder="1"/>
    <xf numFmtId="0" fontId="3" fillId="6" borderId="2" xfId="0" applyFont="1" applyFill="1" applyBorder="1"/>
    <xf numFmtId="14" fontId="8" fillId="6" borderId="3" xfId="0" applyNumberFormat="1" applyFont="1" applyFill="1" applyBorder="1"/>
    <xf numFmtId="0" fontId="4" fillId="6" borderId="4" xfId="0" applyFont="1" applyFill="1" applyBorder="1"/>
    <xf numFmtId="0" fontId="8" fillId="6" borderId="5" xfId="0" applyFont="1" applyFill="1" applyBorder="1"/>
    <xf numFmtId="0" fontId="8" fillId="0" borderId="0" xfId="0" applyFont="1"/>
    <xf numFmtId="165" fontId="8" fillId="0" borderId="0" xfId="0" applyNumberFormat="1" applyFont="1" applyFill="1" applyBorder="1"/>
    <xf numFmtId="0" fontId="0" fillId="12" borderId="5" xfId="0" applyFill="1" applyBorder="1"/>
    <xf numFmtId="0" fontId="0" fillId="12" borderId="4" xfId="0" applyFill="1" applyBorder="1"/>
    <xf numFmtId="0" fontId="3" fillId="12" borderId="9" xfId="0" applyFont="1" applyFill="1" applyBorder="1"/>
    <xf numFmtId="0" fontId="1" fillId="0" borderId="0" xfId="0" applyFont="1" applyFill="1"/>
    <xf numFmtId="0" fontId="0" fillId="5" borderId="4" xfId="0" applyFill="1" applyBorder="1"/>
    <xf numFmtId="0" fontId="0" fillId="5" borderId="5" xfId="0" applyFill="1" applyBorder="1"/>
    <xf numFmtId="10" fontId="0" fillId="4" borderId="9" xfId="0" applyNumberFormat="1" applyFill="1" applyBorder="1"/>
    <xf numFmtId="0" fontId="1" fillId="13" borderId="9" xfId="0" applyFont="1" applyFill="1" applyBorder="1" applyAlignment="1"/>
    <xf numFmtId="0" fontId="15" fillId="10" borderId="3" xfId="0" applyFont="1" applyFill="1" applyBorder="1"/>
    <xf numFmtId="0" fontId="0" fillId="10" borderId="5" xfId="0" applyFill="1" applyBorder="1"/>
    <xf numFmtId="166" fontId="0" fillId="4" borderId="11" xfId="0" applyNumberFormat="1" applyFill="1" applyBorder="1"/>
    <xf numFmtId="1" fontId="0" fillId="4" borderId="9" xfId="0" applyNumberFormat="1" applyFill="1" applyBorder="1"/>
    <xf numFmtId="10" fontId="0" fillId="4" borderId="10" xfId="0" applyNumberFormat="1" applyFill="1" applyBorder="1"/>
    <xf numFmtId="0" fontId="16" fillId="13" borderId="4" xfId="0" applyFont="1" applyFill="1" applyBorder="1" applyAlignment="1">
      <alignment textRotation="45"/>
    </xf>
    <xf numFmtId="0" fontId="16" fillId="13" borderId="9" xfId="0" applyFont="1" applyFill="1" applyBorder="1" applyAlignment="1"/>
    <xf numFmtId="166" fontId="0" fillId="4" borderId="9" xfId="0" applyNumberFormat="1" applyFill="1" applyBorder="1"/>
    <xf numFmtId="0" fontId="0" fillId="5" borderId="3" xfId="0" applyNumberFormat="1" applyFill="1" applyBorder="1" applyAlignment="1">
      <alignment horizontal="right"/>
    </xf>
    <xf numFmtId="0" fontId="0" fillId="4" borderId="9" xfId="0" applyNumberFormat="1" applyFill="1" applyBorder="1"/>
    <xf numFmtId="0" fontId="0" fillId="0" borderId="9" xfId="0" applyNumberFormat="1" applyBorder="1"/>
    <xf numFmtId="0" fontId="1" fillId="0" borderId="0" xfId="0" applyFont="1" applyFill="1" applyBorder="1"/>
    <xf numFmtId="0" fontId="1" fillId="13" borderId="12" xfId="0" applyFont="1" applyFill="1" applyBorder="1"/>
    <xf numFmtId="0" fontId="0" fillId="4" borderId="11" xfId="0" applyFill="1" applyBorder="1"/>
    <xf numFmtId="0" fontId="8" fillId="0" borderId="0" xfId="0" applyFont="1" applyFill="1" applyBorder="1"/>
    <xf numFmtId="1" fontId="0" fillId="3" borderId="5" xfId="0" applyNumberFormat="1" applyFill="1" applyBorder="1"/>
    <xf numFmtId="2" fontId="0" fillId="3" borderId="5" xfId="0" applyNumberFormat="1" applyFill="1" applyBorder="1"/>
    <xf numFmtId="0" fontId="3" fillId="3" borderId="7" xfId="0" applyNumberFormat="1" applyFont="1" applyFill="1" applyBorder="1"/>
    <xf numFmtId="1" fontId="0" fillId="3" borderId="7" xfId="0" applyNumberFormat="1" applyFill="1" applyBorder="1"/>
    <xf numFmtId="0" fontId="0" fillId="7" borderId="8" xfId="0" applyFill="1" applyBorder="1"/>
    <xf numFmtId="0" fontId="0" fillId="7" borderId="6" xfId="0" applyFill="1" applyBorder="1"/>
    <xf numFmtId="0" fontId="3" fillId="3" borderId="5" xfId="0" applyNumberFormat="1" applyFont="1" applyFill="1" applyBorder="1"/>
    <xf numFmtId="0" fontId="0" fillId="7" borderId="0" xfId="0" applyFill="1" applyBorder="1"/>
    <xf numFmtId="0" fontId="0" fillId="7" borderId="3" xfId="0" applyFill="1" applyBorder="1"/>
    <xf numFmtId="0" fontId="3" fillId="3" borderId="4" xfId="0" applyNumberFormat="1" applyFont="1" applyFill="1" applyBorder="1"/>
    <xf numFmtId="2" fontId="0" fillId="3" borderId="4" xfId="0" applyNumberFormat="1" applyFill="1" applyBorder="1"/>
    <xf numFmtId="0" fontId="0" fillId="7" borderId="1" xfId="0" applyFill="1" applyBorder="1"/>
    <xf numFmtId="0" fontId="0" fillId="7" borderId="2" xfId="0" applyFill="1" applyBorder="1"/>
    <xf numFmtId="0" fontId="3" fillId="7" borderId="7" xfId="0" applyFont="1" applyFill="1" applyBorder="1"/>
    <xf numFmtId="0" fontId="17" fillId="7" borderId="13" xfId="0" applyFont="1" applyFill="1" applyBorder="1"/>
    <xf numFmtId="0" fontId="11" fillId="7" borderId="0" xfId="0" applyFont="1" applyFill="1" applyBorder="1"/>
    <xf numFmtId="0" fontId="3" fillId="7" borderId="13" xfId="0" applyNumberFormat="1" applyFont="1" applyFill="1" applyBorder="1"/>
    <xf numFmtId="0" fontId="17" fillId="7" borderId="12" xfId="0" applyNumberFormat="1" applyFont="1" applyFill="1" applyBorder="1"/>
    <xf numFmtId="0" fontId="13" fillId="7" borderId="1" xfId="0" applyFont="1" applyFill="1" applyBorder="1"/>
    <xf numFmtId="0" fontId="1" fillId="11" borderId="7" xfId="0" applyNumberFormat="1" applyFont="1" applyFill="1" applyBorder="1"/>
    <xf numFmtId="0" fontId="1" fillId="11" borderId="6" xfId="0" applyFont="1" applyFill="1" applyBorder="1"/>
    <xf numFmtId="0" fontId="1" fillId="11" borderId="8" xfId="0" applyFont="1" applyFill="1" applyBorder="1"/>
    <xf numFmtId="0" fontId="0" fillId="5" borderId="5" xfId="0" applyNumberFormat="1" applyFill="1" applyBorder="1"/>
    <xf numFmtId="0" fontId="0" fillId="5" borderId="0" xfId="0" applyFill="1" applyBorder="1"/>
    <xf numFmtId="0" fontId="0" fillId="5" borderId="4" xfId="0" applyNumberFormat="1" applyFill="1" applyBorder="1"/>
    <xf numFmtId="0" fontId="18" fillId="7" borderId="0" xfId="0" applyFont="1" applyFill="1" applyBorder="1"/>
    <xf numFmtId="0" fontId="18" fillId="7" borderId="0" xfId="0" applyFont="1" applyFill="1"/>
    <xf numFmtId="0" fontId="0" fillId="10" borderId="7" xfId="0" applyFill="1" applyBorder="1"/>
    <xf numFmtId="0" fontId="19" fillId="3" borderId="0" xfId="0" applyFont="1" applyFill="1"/>
    <xf numFmtId="0" fontId="18" fillId="7" borderId="8" xfId="0" applyFont="1" applyFill="1" applyBorder="1"/>
    <xf numFmtId="0" fontId="18" fillId="3" borderId="0" xfId="0" applyFont="1" applyFill="1"/>
    <xf numFmtId="0" fontId="1" fillId="11" borderId="14" xfId="0" applyFont="1" applyFill="1" applyBorder="1"/>
    <xf numFmtId="0" fontId="18" fillId="0" borderId="7" xfId="0" applyFont="1" applyBorder="1"/>
    <xf numFmtId="0" fontId="0" fillId="0" borderId="5" xfId="0" applyBorder="1"/>
    <xf numFmtId="0" fontId="18" fillId="3" borderId="0" xfId="0" applyFont="1" applyFill="1" applyBorder="1"/>
    <xf numFmtId="2" fontId="0" fillId="0" borderId="9" xfId="0" applyNumberFormat="1" applyBorder="1"/>
    <xf numFmtId="0" fontId="20" fillId="14" borderId="4" xfId="0" applyFont="1" applyFill="1" applyBorder="1" applyAlignment="1">
      <alignment textRotation="24"/>
    </xf>
    <xf numFmtId="0" fontId="20" fillId="14" borderId="0" xfId="0" applyFont="1" applyFill="1" applyAlignment="1">
      <alignment textRotation="24"/>
    </xf>
    <xf numFmtId="0" fontId="20" fillId="15" borderId="4" xfId="0" applyFont="1" applyFill="1" applyBorder="1" applyAlignment="1">
      <alignment textRotation="24"/>
    </xf>
    <xf numFmtId="49" fontId="0" fillId="0" borderId="0" xfId="0" applyNumberFormat="1" applyFill="1" applyBorder="1" applyAlignment="1">
      <alignment horizontal="left"/>
    </xf>
    <xf numFmtId="2" fontId="0" fillId="0" borderId="0" xfId="0" applyNumberFormat="1" applyFill="1"/>
    <xf numFmtId="49" fontId="0" fillId="0" borderId="0" xfId="0" applyNumberFormat="1" applyFill="1" applyBorder="1" applyAlignment="1">
      <alignment horizontal="right"/>
    </xf>
    <xf numFmtId="0" fontId="0" fillId="5" borderId="12" xfId="0" applyFill="1" applyBorder="1"/>
    <xf numFmtId="164" fontId="0" fillId="5" borderId="13" xfId="0" applyNumberFormat="1" applyFill="1" applyBorder="1"/>
    <xf numFmtId="0" fontId="18" fillId="9" borderId="0" xfId="0" applyFont="1" applyFill="1"/>
    <xf numFmtId="0" fontId="17" fillId="3" borderId="3" xfId="0" applyFont="1" applyFill="1" applyBorder="1"/>
    <xf numFmtId="165" fontId="5" fillId="5" borderId="3" xfId="0" applyNumberFormat="1" applyFont="1" applyFill="1" applyBorder="1"/>
    <xf numFmtId="0" fontId="0" fillId="3" borderId="0" xfId="0" applyNumberFormat="1" applyFill="1"/>
    <xf numFmtId="14" fontId="11" fillId="3" borderId="0" xfId="0" applyNumberFormat="1" applyFont="1" applyFill="1"/>
    <xf numFmtId="21" fontId="0" fillId="2" borderId="0" xfId="0" applyNumberFormat="1" applyFill="1" applyBorder="1" applyAlignment="1">
      <alignment horizontal="right"/>
    </xf>
    <xf numFmtId="166" fontId="0" fillId="3" borderId="5" xfId="0" applyNumberFormat="1" applyFill="1" applyBorder="1"/>
  </cellXfs>
  <cellStyles count="1">
    <cellStyle name="Normal" xfId="0" builtinId="0"/>
  </cellStyles>
  <dxfs count="1">
    <dxf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Operating</a:t>
            </a:r>
            <a:r>
              <a:rPr lang="en-GB" baseline="0"/>
              <a:t> System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'User System'!$C$4</c:f>
              <c:strCache>
                <c:ptCount val="1"/>
                <c:pt idx="0">
                  <c:v>Users</c:v>
                </c:pt>
              </c:strCache>
            </c:strRef>
          </c:tx>
          <c:cat>
            <c:strRef>
              <c:f>'User System'!$B$5:$B$9</c:f>
              <c:strCache>
                <c:ptCount val="5"/>
                <c:pt idx="0">
                  <c:v>Windows 7 / 2008 R2</c:v>
                </c:pt>
                <c:pt idx="1">
                  <c:v>Windows Vista / 2008</c:v>
                </c:pt>
                <c:pt idx="2">
                  <c:v>Windows 2003</c:v>
                </c:pt>
                <c:pt idx="3">
                  <c:v>Windows XP</c:v>
                </c:pt>
                <c:pt idx="4">
                  <c:v>Windows 2000</c:v>
                </c:pt>
              </c:strCache>
            </c:strRef>
          </c:cat>
          <c:val>
            <c:numRef>
              <c:f>'User System'!$C$5:$C$9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'User System'!$D$4</c:f>
              <c:strCache>
                <c:ptCount val="1"/>
                <c:pt idx="0">
                  <c:v>% Users</c:v>
                </c:pt>
              </c:strCache>
            </c:strRef>
          </c:tx>
          <c:cat>
            <c:strRef>
              <c:f>'User System'!$B$5:$B$9</c:f>
              <c:strCache>
                <c:ptCount val="5"/>
                <c:pt idx="0">
                  <c:v>Windows 7 / 2008 R2</c:v>
                </c:pt>
                <c:pt idx="1">
                  <c:v>Windows Vista / 2008</c:v>
                </c:pt>
                <c:pt idx="2">
                  <c:v>Windows 2003</c:v>
                </c:pt>
                <c:pt idx="3">
                  <c:v>Windows XP</c:v>
                </c:pt>
                <c:pt idx="4">
                  <c:v>Windows 2000</c:v>
                </c:pt>
              </c:strCache>
            </c:strRef>
          </c:cat>
          <c:val>
            <c:numRef>
              <c:f>'User System'!$D$5:$D$9</c:f>
              <c:numCache>
                <c:formatCode>0.0%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.NET Framework Version</a:t>
            </a:r>
          </a:p>
        </c:rich>
      </c:tx>
      <c:layout>
        <c:manualLayout>
          <c:xMode val="edge"/>
          <c:yMode val="edge"/>
          <c:x val="0.23677799650043749"/>
          <c:y val="3.7014920114851427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'User System'!$G$4</c:f>
              <c:strCache>
                <c:ptCount val="1"/>
                <c:pt idx="0">
                  <c:v>Users</c:v>
                </c:pt>
              </c:strCache>
            </c:strRef>
          </c:tx>
          <c:cat>
            <c:strRef>
              <c:f>'User System'!$F$5:$F$9</c:f>
              <c:strCache>
                <c:ptCount val="5"/>
                <c:pt idx="0">
                  <c:v>.NET 4</c:v>
                </c:pt>
                <c:pt idx="1">
                  <c:v>.NET 3.5</c:v>
                </c:pt>
                <c:pt idx="2">
                  <c:v>.NET 3.0</c:v>
                </c:pt>
                <c:pt idx="3">
                  <c:v>.NET 2.0</c:v>
                </c:pt>
                <c:pt idx="4">
                  <c:v>.NET 1.1</c:v>
                </c:pt>
              </c:strCache>
            </c:strRef>
          </c:cat>
          <c:val>
            <c:numRef>
              <c:f>'User System'!$G$5:$G$9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'User System'!$H$4</c:f>
              <c:strCache>
                <c:ptCount val="1"/>
                <c:pt idx="0">
                  <c:v>% Users</c:v>
                </c:pt>
              </c:strCache>
            </c:strRef>
          </c:tx>
          <c:cat>
            <c:strRef>
              <c:f>'User System'!$F$5:$F$9</c:f>
              <c:strCache>
                <c:ptCount val="5"/>
                <c:pt idx="0">
                  <c:v>.NET 4</c:v>
                </c:pt>
                <c:pt idx="1">
                  <c:v>.NET 3.5</c:v>
                </c:pt>
                <c:pt idx="2">
                  <c:v>.NET 3.0</c:v>
                </c:pt>
                <c:pt idx="3">
                  <c:v>.NET 2.0</c:v>
                </c:pt>
                <c:pt idx="4">
                  <c:v>.NET 1.1</c:v>
                </c:pt>
              </c:strCache>
            </c:strRef>
          </c:cat>
          <c:val>
            <c:numRef>
              <c:f>'User System'!$H$5:$H$9</c:f>
              <c:numCache>
                <c:formatCode>0.0%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Culture</a:t>
            </a:r>
          </a:p>
        </c:rich>
      </c:tx>
      <c:layout>
        <c:manualLayout>
          <c:xMode val="edge"/>
          <c:yMode val="edge"/>
          <c:x val="9.6359147277408866E-2"/>
          <c:y val="4.72748185888528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437401877232428E-2"/>
          <c:y val="8.7808437507812198E-2"/>
          <c:w val="0.73551145401453311"/>
          <c:h val="0.89422055100724607"/>
        </c:manualLayout>
      </c:layout>
      <c:pieChart>
        <c:varyColors val="1"/>
        <c:ser>
          <c:idx val="0"/>
          <c:order val="0"/>
          <c:tx>
            <c:strRef>
              <c:f>'User System'!$C$60</c:f>
              <c:strCache>
                <c:ptCount val="1"/>
                <c:pt idx="0">
                  <c:v>Users</c:v>
                </c:pt>
              </c:strCache>
            </c:strRef>
          </c:tx>
          <c:cat>
            <c:strRef>
              <c:f>'User System'!$B$61:$B$85</c:f>
              <c:strCache>
                <c:ptCount val="25"/>
                <c:pt idx="0">
                  <c:v>en-US</c:v>
                </c:pt>
                <c:pt idx="24">
                  <c:v>Other/unknown:</c:v>
                </c:pt>
              </c:strCache>
            </c:strRef>
          </c:cat>
          <c:val>
            <c:numRef>
              <c:f>'User System'!$C$61:$C$85</c:f>
              <c:numCache>
                <c:formatCode>General</c:formatCode>
                <c:ptCount val="25"/>
                <c:pt idx="0">
                  <c:v>1</c:v>
                </c:pt>
                <c:pt idx="24">
                  <c:v>0</c:v>
                </c:pt>
              </c:numCache>
            </c:numRef>
          </c:val>
        </c:ser>
        <c:ser>
          <c:idx val="1"/>
          <c:order val="1"/>
          <c:tx>
            <c:strRef>
              <c:f>'User System'!$D$60</c:f>
              <c:strCache>
                <c:ptCount val="1"/>
                <c:pt idx="0">
                  <c:v>% Users</c:v>
                </c:pt>
              </c:strCache>
            </c:strRef>
          </c:tx>
          <c:cat>
            <c:strRef>
              <c:f>'User System'!$B$61:$B$85</c:f>
              <c:strCache>
                <c:ptCount val="25"/>
                <c:pt idx="0">
                  <c:v>en-US</c:v>
                </c:pt>
                <c:pt idx="24">
                  <c:v>Other/unknown:</c:v>
                </c:pt>
              </c:strCache>
            </c:strRef>
          </c:cat>
          <c:val>
            <c:numRef>
              <c:f>'User System'!$D$61:$D$85</c:f>
              <c:numCache>
                <c:formatCode>0.0%</c:formatCode>
                <c:ptCount val="2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298270132917552"/>
          <c:y val="2.5871581556511935E-2"/>
          <c:w val="0.14601133931717575"/>
          <c:h val="0.93793912927356682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monitors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'User System'!$C$18</c:f>
              <c:strCache>
                <c:ptCount val="1"/>
                <c:pt idx="0">
                  <c:v>Users</c:v>
                </c:pt>
              </c:strCache>
            </c:strRef>
          </c:tx>
          <c:val>
            <c:numRef>
              <c:f>'User System'!$C$19:$C$22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CPU Cores</a:t>
            </a:r>
          </a:p>
        </c:rich>
      </c:tx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'User System'!$C$32</c:f>
              <c:strCache>
                <c:ptCount val="1"/>
                <c:pt idx="0">
                  <c:v>Users</c:v>
                </c:pt>
              </c:strCache>
            </c:strRef>
          </c:tx>
          <c:cat>
            <c:numRef>
              <c:f>'User System'!$B$33:$B$37</c:f>
              <c:numCache>
                <c:formatCode>General</c:formatCode>
                <c:ptCount val="5"/>
                <c:pt idx="0">
                  <c:v>4</c:v>
                </c:pt>
              </c:numCache>
            </c:numRef>
          </c:cat>
          <c:val>
            <c:numRef>
              <c:f>'User System'!$C$33:$C$37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'Usage Times'!$C$34</c:f>
              <c:strCache>
                <c:ptCount val="1"/>
                <c:pt idx="0">
                  <c:v>Usages</c:v>
                </c:pt>
              </c:strCache>
            </c:strRef>
          </c:tx>
          <c:invertIfNegative val="0"/>
          <c:cat>
            <c:numRef>
              <c:f>'Usage Times'!$B$35:$B$58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'Usage Times'!$C$35:$C$58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563712"/>
        <c:axId val="280565248"/>
      </c:barChart>
      <c:catAx>
        <c:axId val="28056371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0565248"/>
        <c:crosses val="autoZero"/>
        <c:auto val="1"/>
        <c:lblAlgn val="ctr"/>
        <c:lblOffset val="100"/>
        <c:noMultiLvlLbl val="0"/>
      </c:catAx>
      <c:valAx>
        <c:axId val="28056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Usages</a:t>
                </a:r>
              </a:p>
            </c:rich>
          </c:tx>
          <c:layout>
            <c:manualLayout>
              <c:xMode val="edge"/>
              <c:yMode val="edge"/>
              <c:x val="1.2504884720593983E-2"/>
              <c:y val="1.7318442764375549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80563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57662639498523E-2"/>
          <c:y val="3.1289234329317211E-2"/>
          <c:w val="0.93911676298758118"/>
          <c:h val="0.88212742169906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'Usage Times'!$C$62</c:f>
              <c:strCache>
                <c:ptCount val="1"/>
                <c:pt idx="0">
                  <c:v>Day</c:v>
                </c:pt>
              </c:strCache>
            </c:strRef>
          </c:tx>
          <c:invertIfNegative val="0"/>
          <c:cat>
            <c:strRef>
              <c:f>'Usage Times'!$B$63:$B$69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'Usage Times'!$C$63:$C$69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588672"/>
        <c:axId val="280590208"/>
      </c:barChart>
      <c:catAx>
        <c:axId val="2805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590208"/>
        <c:crosses val="autoZero"/>
        <c:auto val="1"/>
        <c:lblAlgn val="ctr"/>
        <c:lblOffset val="100"/>
        <c:noMultiLvlLbl val="0"/>
      </c:catAx>
      <c:valAx>
        <c:axId val="28059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588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898191996463076E-2"/>
          <c:y val="5.3209243339995348E-2"/>
          <c:w val="0.92951582119850684"/>
          <c:h val="0.84897172257137588"/>
        </c:manualLayout>
      </c:layout>
      <c:lineChart>
        <c:grouping val="stacked"/>
        <c:varyColors val="0"/>
        <c:ser>
          <c:idx val="0"/>
          <c:order val="0"/>
          <c:tx>
            <c:strRef>
              <c:f>'Usage Times'!$C$88</c:f>
              <c:strCache>
                <c:ptCount val="1"/>
                <c:pt idx="0">
                  <c:v>Usages in Period</c:v>
                </c:pt>
              </c:strCache>
            </c:strRef>
          </c:tx>
          <c:marker>
            <c:symbol val="none"/>
          </c:marker>
          <c:cat>
            <c:numRef>
              <c:f>'Usage Times'!$B$89:$B$116</c:f>
              <c:numCache>
                <c:formatCode>dd/mm/yyyy;@</c:formatCode>
                <c:ptCount val="28"/>
                <c:pt idx="0">
                  <c:v>41351</c:v>
                </c:pt>
                <c:pt idx="1">
                  <c:v>41352</c:v>
                </c:pt>
                <c:pt idx="2">
                  <c:v>41353</c:v>
                </c:pt>
                <c:pt idx="3">
                  <c:v>41354</c:v>
                </c:pt>
                <c:pt idx="4">
                  <c:v>41355</c:v>
                </c:pt>
                <c:pt idx="5">
                  <c:v>41356</c:v>
                </c:pt>
                <c:pt idx="6">
                  <c:v>41357</c:v>
                </c:pt>
                <c:pt idx="7">
                  <c:v>41358</c:v>
                </c:pt>
                <c:pt idx="8">
                  <c:v>41359</c:v>
                </c:pt>
                <c:pt idx="9">
                  <c:v>41360</c:v>
                </c:pt>
                <c:pt idx="10">
                  <c:v>41361</c:v>
                </c:pt>
                <c:pt idx="11">
                  <c:v>41362</c:v>
                </c:pt>
                <c:pt idx="12">
                  <c:v>41363</c:v>
                </c:pt>
                <c:pt idx="13">
                  <c:v>41364</c:v>
                </c:pt>
                <c:pt idx="14">
                  <c:v>41365</c:v>
                </c:pt>
                <c:pt idx="15">
                  <c:v>41366</c:v>
                </c:pt>
                <c:pt idx="16">
                  <c:v>41367</c:v>
                </c:pt>
                <c:pt idx="17">
                  <c:v>41368</c:v>
                </c:pt>
                <c:pt idx="18">
                  <c:v>41369</c:v>
                </c:pt>
                <c:pt idx="19">
                  <c:v>41370</c:v>
                </c:pt>
                <c:pt idx="20">
                  <c:v>41371</c:v>
                </c:pt>
                <c:pt idx="21">
                  <c:v>41372</c:v>
                </c:pt>
                <c:pt idx="22">
                  <c:v>41373</c:v>
                </c:pt>
                <c:pt idx="23">
                  <c:v>41374</c:v>
                </c:pt>
                <c:pt idx="24">
                  <c:v>41375</c:v>
                </c:pt>
                <c:pt idx="25">
                  <c:v>41376</c:v>
                </c:pt>
                <c:pt idx="26">
                  <c:v>41377</c:v>
                </c:pt>
                <c:pt idx="27">
                  <c:v>41378</c:v>
                </c:pt>
              </c:numCache>
            </c:numRef>
          </c:cat>
          <c:val>
            <c:numRef>
              <c:f>'Usage Times'!$C$89:$C$116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433792"/>
        <c:axId val="280435328"/>
      </c:lineChart>
      <c:dateAx>
        <c:axId val="280433792"/>
        <c:scaling>
          <c:orientation val="minMax"/>
        </c:scaling>
        <c:delete val="0"/>
        <c:axPos val="b"/>
        <c:numFmt formatCode="dd/mm/yy;@" sourceLinked="0"/>
        <c:majorTickMark val="none"/>
        <c:minorTickMark val="none"/>
        <c:tickLblPos val="low"/>
        <c:txPr>
          <a:bodyPr/>
          <a:lstStyle/>
          <a:p>
            <a:pPr>
              <a:defRPr sz="800" baseline="0"/>
            </a:pPr>
            <a:endParaRPr lang="en-US"/>
          </a:p>
        </c:txPr>
        <c:crossAx val="280435328"/>
        <c:crosses val="autoZero"/>
        <c:auto val="1"/>
        <c:lblOffset val="100"/>
        <c:baseTimeUnit val="days"/>
      </c:dateAx>
      <c:valAx>
        <c:axId val="2804353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Usages in Period</a:t>
                </a:r>
              </a:p>
            </c:rich>
          </c:tx>
          <c:layout>
            <c:manualLayout>
              <c:xMode val="edge"/>
              <c:yMode val="edge"/>
              <c:x val="4.7449584816132862E-3"/>
              <c:y val="7.5574498141860692E-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80433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780024646740733E-2"/>
          <c:y val="3.9862783035063271E-2"/>
          <c:w val="0.85922906979428471"/>
          <c:h val="0.88108937091322126"/>
        </c:manualLayout>
      </c:layout>
      <c:lineChart>
        <c:grouping val="standard"/>
        <c:varyColors val="0"/>
        <c:ser>
          <c:idx val="2"/>
          <c:order val="0"/>
          <c:tx>
            <c:strRef>
              <c:f>'Usage Times'!$D$6</c:f>
              <c:strCache>
                <c:ptCount val="1"/>
                <c:pt idx="0">
                  <c:v>Percent</c:v>
                </c:pt>
              </c:strCache>
            </c:strRef>
          </c:tx>
          <c:marker>
            <c:symbol val="x"/>
            <c:size val="6"/>
          </c:marker>
          <c:cat>
            <c:numRef>
              <c:f>'Usage Times'!$B$7:$B$26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'Usage Times'!$D$7:$D$26</c:f>
              <c:numCache>
                <c:formatCode>0.0%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451328"/>
        <c:axId val="280461696"/>
      </c:lineChart>
      <c:catAx>
        <c:axId val="2804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Usages</a:t>
                </a:r>
              </a:p>
            </c:rich>
          </c:tx>
          <c:layout>
            <c:manualLayout>
              <c:xMode val="edge"/>
              <c:yMode val="edge"/>
              <c:x val="0.94053088977912858"/>
              <c:y val="0.89646330794016582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280461696"/>
        <c:crosses val="autoZero"/>
        <c:auto val="1"/>
        <c:lblAlgn val="ctr"/>
        <c:lblOffset val="100"/>
        <c:noMultiLvlLbl val="0"/>
      </c:catAx>
      <c:valAx>
        <c:axId val="28046169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0451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07206336050095"/>
          <c:y val="0.51072765294582079"/>
          <c:w val="0.15122813157127296"/>
          <c:h val="4.9005185327443808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0"/>
      <c:rotY val="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5607939242014455E-2"/>
          <c:y val="4.4044971592913734E-2"/>
          <c:w val="0.87141722467802862"/>
          <c:h val="0.84696033738818621"/>
        </c:manualLayout>
      </c:layout>
      <c:area3DChart>
        <c:grouping val="stacked"/>
        <c:varyColors val="0"/>
        <c:ser>
          <c:idx val="0"/>
          <c:order val="0"/>
          <c:tx>
            <c:strRef>
              <c:f>Versions!$F$7</c:f>
              <c:strCache>
                <c:ptCount val="1"/>
                <c:pt idx="0">
                  <c:v>1.7.104.0</c:v>
                </c:pt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Versions!$J$7:$AC$7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strRef>
              <c:f>Versions!$F$8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Versions!$J$8:$AC$8</c:f>
              <c:numCache>
                <c:formatCode>General</c:formatCode>
                <c:ptCount val="20"/>
              </c:numCache>
            </c:numRef>
          </c:val>
        </c:ser>
        <c:ser>
          <c:idx val="2"/>
          <c:order val="2"/>
          <c:tx>
            <c:strRef>
              <c:f>Versions!$F$9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Versions!$J$9:$AC$9</c:f>
              <c:numCache>
                <c:formatCode>General</c:formatCode>
                <c:ptCount val="20"/>
              </c:numCache>
            </c:numRef>
          </c:val>
        </c:ser>
        <c:ser>
          <c:idx val="3"/>
          <c:order val="3"/>
          <c:tx>
            <c:strRef>
              <c:f>Versions!$F$10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Versions!$J$10:$AC$10</c:f>
              <c:numCache>
                <c:formatCode>General</c:formatCode>
                <c:ptCount val="20"/>
              </c:numCache>
            </c:numRef>
          </c:val>
        </c:ser>
        <c:ser>
          <c:idx val="4"/>
          <c:order val="4"/>
          <c:tx>
            <c:strRef>
              <c:f>Versions!$F$11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Versions!$J$11:$AC$11</c:f>
              <c:numCache>
                <c:formatCode>General</c:formatCode>
                <c:ptCount val="20"/>
              </c:numCache>
            </c:numRef>
          </c:val>
        </c:ser>
        <c:ser>
          <c:idx val="5"/>
          <c:order val="5"/>
          <c:tx>
            <c:strRef>
              <c:f>Versions!$F$12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Versions!$J$12:$AC$12</c:f>
              <c:numCache>
                <c:formatCode>General</c:formatCode>
                <c:ptCount val="20"/>
              </c:numCache>
            </c:numRef>
          </c:val>
        </c:ser>
        <c:ser>
          <c:idx val="6"/>
          <c:order val="6"/>
          <c:tx>
            <c:strRef>
              <c:f>Versions!$F$13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Versions!$J$13:$AC$13</c:f>
              <c:numCache>
                <c:formatCode>General</c:formatCode>
                <c:ptCount val="20"/>
              </c:numCache>
            </c:numRef>
          </c:val>
        </c:ser>
        <c:ser>
          <c:idx val="7"/>
          <c:order val="7"/>
          <c:tx>
            <c:strRef>
              <c:f>Versions!$F$14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Versions!$J$14:$AC$14</c:f>
              <c:numCache>
                <c:formatCode>General</c:formatCode>
                <c:ptCount val="20"/>
              </c:numCache>
            </c:numRef>
          </c:val>
        </c:ser>
        <c:ser>
          <c:idx val="8"/>
          <c:order val="8"/>
          <c:tx>
            <c:strRef>
              <c:f>Versions!$F$15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Versions!$J$15:$AC$15</c:f>
              <c:numCache>
                <c:formatCode>General</c:formatCode>
                <c:ptCount val="20"/>
              </c:numCache>
            </c:numRef>
          </c:val>
        </c:ser>
        <c:ser>
          <c:idx val="9"/>
          <c:order val="9"/>
          <c:tx>
            <c:strRef>
              <c:f>Versions!$F$16</c:f>
              <c:strCache>
                <c:ptCount val="1"/>
              </c:strCache>
            </c:strRef>
          </c:tx>
          <c:cat>
            <c:numRef>
              <c:f>Versions!$J$6:$AC$6</c:f>
              <c:numCache>
                <c:formatCode>dd/mm/yyyy;@</c:formatCode>
                <c:ptCount val="20"/>
                <c:pt idx="0">
                  <c:v>41379</c:v>
                </c:pt>
                <c:pt idx="1">
                  <c:v>41378</c:v>
                </c:pt>
                <c:pt idx="2">
                  <c:v>41377</c:v>
                </c:pt>
                <c:pt idx="3">
                  <c:v>41376</c:v>
                </c:pt>
                <c:pt idx="4">
                  <c:v>41375</c:v>
                </c:pt>
                <c:pt idx="5">
                  <c:v>41374</c:v>
                </c:pt>
                <c:pt idx="6">
                  <c:v>41373</c:v>
                </c:pt>
                <c:pt idx="7">
                  <c:v>41372</c:v>
                </c:pt>
                <c:pt idx="8">
                  <c:v>41371</c:v>
                </c:pt>
                <c:pt idx="9">
                  <c:v>41370</c:v>
                </c:pt>
                <c:pt idx="10">
                  <c:v>41369</c:v>
                </c:pt>
                <c:pt idx="11">
                  <c:v>41368</c:v>
                </c:pt>
                <c:pt idx="12">
                  <c:v>41367</c:v>
                </c:pt>
                <c:pt idx="13">
                  <c:v>41366</c:v>
                </c:pt>
                <c:pt idx="14">
                  <c:v>41365</c:v>
                </c:pt>
                <c:pt idx="15">
                  <c:v>41364</c:v>
                </c:pt>
                <c:pt idx="16">
                  <c:v>41363</c:v>
                </c:pt>
                <c:pt idx="17">
                  <c:v>41362</c:v>
                </c:pt>
                <c:pt idx="18">
                  <c:v>41361</c:v>
                </c:pt>
                <c:pt idx="19">
                  <c:v>41360</c:v>
                </c:pt>
              </c:numCache>
            </c:numRef>
          </c:cat>
          <c:val>
            <c:numRef>
              <c:f>Versions!$J$16:$AC$16</c:f>
              <c:numCache>
                <c:formatCode>General</c:formatCode>
                <c:ptCount val="2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87392"/>
        <c:axId val="281388928"/>
        <c:axId val="0"/>
      </c:area3DChart>
      <c:dateAx>
        <c:axId val="281387392"/>
        <c:scaling>
          <c:orientation val="minMax"/>
        </c:scaling>
        <c:delete val="0"/>
        <c:axPos val="b"/>
        <c:numFmt formatCode="dd/mm/yyyy;@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281388928"/>
        <c:crosses val="autoZero"/>
        <c:auto val="1"/>
        <c:lblOffset val="100"/>
        <c:baseTimeUnit val="days"/>
      </c:dateAx>
      <c:valAx>
        <c:axId val="2813889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Uses</a:t>
                </a:r>
                <a:r>
                  <a:rPr lang="en-GB" baseline="0"/>
                  <a:t> per day</a:t>
                </a:r>
              </a:p>
            </c:rich>
          </c:tx>
          <c:layout>
            <c:manualLayout>
              <c:xMode val="edge"/>
              <c:yMode val="edge"/>
              <c:x val="8.5440057093600398E-3"/>
              <c:y val="1.994631522123564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81387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3000702921962752"/>
          <c:y val="0.32772271551162491"/>
          <c:w val="6.3965726642892018E-2"/>
          <c:h val="0.34266971947655483"/>
        </c:manualLayout>
      </c:layout>
      <c:overlay val="0"/>
    </c:legend>
    <c:plotVisOnly val="1"/>
    <c:dispBlanksAs val="zero"/>
    <c:showDLblsOverMax val="0"/>
  </c:chart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104775</xdr:rowOff>
        </xdr:from>
        <xdr:to>
          <xdr:col>2</xdr:col>
          <xdr:colOff>2009775</xdr:colOff>
          <xdr:row>1</xdr:row>
          <xdr:rowOff>276225</xdr:rowOff>
        </xdr:to>
        <xdr:sp macro="" textlink="">
          <xdr:nvSpPr>
            <xdr:cNvPr id="2050" name="buttonRefresh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133350</xdr:rowOff>
        </xdr:from>
        <xdr:to>
          <xdr:col>1</xdr:col>
          <xdr:colOff>923925</xdr:colOff>
          <xdr:row>6</xdr:row>
          <xdr:rowOff>0</xdr:rowOff>
        </xdr:to>
        <xdr:sp macro="" textlink="">
          <xdr:nvSpPr>
            <xdr:cNvPr id="2053" name="optionsUseSQLServe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171450</xdr:rowOff>
        </xdr:from>
        <xdr:to>
          <xdr:col>1</xdr:col>
          <xdr:colOff>981075</xdr:colOff>
          <xdr:row>6</xdr:row>
          <xdr:rowOff>200025</xdr:rowOff>
        </xdr:to>
        <xdr:sp macro="" textlink="">
          <xdr:nvSpPr>
            <xdr:cNvPr id="2054" name="optionUseMDB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57150</xdr:rowOff>
        </xdr:from>
        <xdr:to>
          <xdr:col>4</xdr:col>
          <xdr:colOff>1257300</xdr:colOff>
          <xdr:row>21</xdr:row>
          <xdr:rowOff>152400</xdr:rowOff>
        </xdr:to>
        <xdr:sp macro="" textlink="">
          <xdr:nvSpPr>
            <xdr:cNvPr id="2056" name="CheckBoxFilterIPs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66675</xdr:rowOff>
        </xdr:from>
        <xdr:to>
          <xdr:col>4</xdr:col>
          <xdr:colOff>3876675</xdr:colOff>
          <xdr:row>12</xdr:row>
          <xdr:rowOff>161925</xdr:rowOff>
        </xdr:to>
        <xdr:sp macro="" textlink="">
          <xdr:nvSpPr>
            <xdr:cNvPr id="2058" name="Label1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19050</xdr:rowOff>
        </xdr:from>
        <xdr:to>
          <xdr:col>4</xdr:col>
          <xdr:colOff>3819525</xdr:colOff>
          <xdr:row>14</xdr:row>
          <xdr:rowOff>161925</xdr:rowOff>
        </xdr:to>
        <xdr:sp macro="" textlink="">
          <xdr:nvSpPr>
            <xdr:cNvPr id="2059" name="Label2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16</xdr:row>
          <xdr:rowOff>114300</xdr:rowOff>
        </xdr:from>
        <xdr:to>
          <xdr:col>4</xdr:col>
          <xdr:colOff>3838575</xdr:colOff>
          <xdr:row>19</xdr:row>
          <xdr:rowOff>171450</xdr:rowOff>
        </xdr:to>
        <xdr:sp macro="" textlink="">
          <xdr:nvSpPr>
            <xdr:cNvPr id="2060" name="Label3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1628775</xdr:colOff>
          <xdr:row>0</xdr:row>
          <xdr:rowOff>95250</xdr:rowOff>
        </xdr:from>
        <xdr:to>
          <xdr:col>4</xdr:col>
          <xdr:colOff>3810000</xdr:colOff>
          <xdr:row>1</xdr:row>
          <xdr:rowOff>266700</xdr:rowOff>
        </xdr:to>
        <xdr:sp macro="" textlink="">
          <xdr:nvSpPr>
            <xdr:cNvPr id="2061" name="buttonClearAllData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2038350</xdr:colOff>
          <xdr:row>4</xdr:row>
          <xdr:rowOff>0</xdr:rowOff>
        </xdr:to>
        <xdr:sp macro="" textlink="">
          <xdr:nvSpPr>
            <xdr:cNvPr id="3073" name="projectCombo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0</xdr:rowOff>
        </xdr:from>
        <xdr:to>
          <xdr:col>3</xdr:col>
          <xdr:colOff>19050</xdr:colOff>
          <xdr:row>1</xdr:row>
          <xdr:rowOff>304800</xdr:rowOff>
        </xdr:to>
        <xdr:sp macro="" textlink="">
          <xdr:nvSpPr>
            <xdr:cNvPr id="3075" name="buttonRefresh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57150</xdr:rowOff>
        </xdr:from>
        <xdr:to>
          <xdr:col>3</xdr:col>
          <xdr:colOff>2038350</xdr:colOff>
          <xdr:row>6</xdr:row>
          <xdr:rowOff>19050</xdr:rowOff>
        </xdr:to>
        <xdr:sp macro="" textlink="">
          <xdr:nvSpPr>
            <xdr:cNvPr id="3076" name="buildCombo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0</xdr:row>
          <xdr:rowOff>114300</xdr:rowOff>
        </xdr:from>
        <xdr:to>
          <xdr:col>2</xdr:col>
          <xdr:colOff>2762250</xdr:colOff>
          <xdr:row>1</xdr:row>
          <xdr:rowOff>285750</xdr:rowOff>
        </xdr:to>
        <xdr:sp macro="" textlink="">
          <xdr:nvSpPr>
            <xdr:cNvPr id="13313" name="buttonRefresh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4</xdr:row>
          <xdr:rowOff>123825</xdr:rowOff>
        </xdr:from>
        <xdr:to>
          <xdr:col>2</xdr:col>
          <xdr:colOff>895350</xdr:colOff>
          <xdr:row>6</xdr:row>
          <xdr:rowOff>47625</xdr:rowOff>
        </xdr:to>
        <xdr:sp macro="" textlink="">
          <xdr:nvSpPr>
            <xdr:cNvPr id="13314" name="OptionButtonSortID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4</xdr:row>
          <xdr:rowOff>123825</xdr:rowOff>
        </xdr:from>
        <xdr:to>
          <xdr:col>2</xdr:col>
          <xdr:colOff>2019300</xdr:colOff>
          <xdr:row>6</xdr:row>
          <xdr:rowOff>47625</xdr:rowOff>
        </xdr:to>
        <xdr:sp macro="" textlink="">
          <xdr:nvSpPr>
            <xdr:cNvPr id="13315" name="OptionButtonSortNam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2019300</xdr:colOff>
          <xdr:row>4</xdr:row>
          <xdr:rowOff>123825</xdr:rowOff>
        </xdr:from>
        <xdr:to>
          <xdr:col>2</xdr:col>
          <xdr:colOff>3000375</xdr:colOff>
          <xdr:row>6</xdr:row>
          <xdr:rowOff>47625</xdr:rowOff>
        </xdr:to>
        <xdr:sp macro="" textlink="">
          <xdr:nvSpPr>
            <xdr:cNvPr id="13316" name="OptionButtonSortUsages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3000375</xdr:colOff>
          <xdr:row>4</xdr:row>
          <xdr:rowOff>123825</xdr:rowOff>
        </xdr:from>
        <xdr:to>
          <xdr:col>2</xdr:col>
          <xdr:colOff>3762375</xdr:colOff>
          <xdr:row>6</xdr:row>
          <xdr:rowOff>47625</xdr:rowOff>
        </xdr:to>
        <xdr:sp macro="" textlink="">
          <xdr:nvSpPr>
            <xdr:cNvPr id="13317" name="OptionButtonSortUsers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3752850</xdr:colOff>
          <xdr:row>4</xdr:row>
          <xdr:rowOff>133350</xdr:rowOff>
        </xdr:from>
        <xdr:to>
          <xdr:col>3</xdr:col>
          <xdr:colOff>447675</xdr:colOff>
          <xdr:row>6</xdr:row>
          <xdr:rowOff>57150</xdr:rowOff>
        </xdr:to>
        <xdr:sp macro="" textlink="">
          <xdr:nvSpPr>
            <xdr:cNvPr id="13318" name="OptionButtonSortSessionsUsedIn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1</xdr:row>
      <xdr:rowOff>38100</xdr:rowOff>
    </xdr:from>
    <xdr:to>
      <xdr:col>14</xdr:col>
      <xdr:colOff>123825</xdr:colOff>
      <xdr:row>17</xdr:row>
      <xdr:rowOff>47625</xdr:rowOff>
    </xdr:to>
    <xdr:graphicFrame macro="">
      <xdr:nvGraphicFramePr>
        <xdr:cNvPr id="51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285750</xdr:colOff>
      <xdr:row>1</xdr:row>
      <xdr:rowOff>76200</xdr:rowOff>
    </xdr:from>
    <xdr:to>
      <xdr:col>21</xdr:col>
      <xdr:colOff>590550</xdr:colOff>
      <xdr:row>17</xdr:row>
      <xdr:rowOff>9525</xdr:rowOff>
    </xdr:to>
    <xdr:graphicFrame macro="">
      <xdr:nvGraphicFramePr>
        <xdr:cNvPr id="512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466724</xdr:colOff>
      <xdr:row>57</xdr:row>
      <xdr:rowOff>0</xdr:rowOff>
    </xdr:from>
    <xdr:to>
      <xdr:col>20</xdr:col>
      <xdr:colOff>19050</xdr:colOff>
      <xdr:row>92</xdr:row>
      <xdr:rowOff>161924</xdr:rowOff>
    </xdr:to>
    <xdr:graphicFrame macro="">
      <xdr:nvGraphicFramePr>
        <xdr:cNvPr id="512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266700</xdr:colOff>
      <xdr:row>17</xdr:row>
      <xdr:rowOff>171450</xdr:rowOff>
    </xdr:from>
    <xdr:to>
      <xdr:col>14</xdr:col>
      <xdr:colOff>123825</xdr:colOff>
      <xdr:row>32</xdr:row>
      <xdr:rowOff>0</xdr:rowOff>
    </xdr:to>
    <xdr:graphicFrame macro="">
      <xdr:nvGraphicFramePr>
        <xdr:cNvPr id="513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238125</xdr:colOff>
      <xdr:row>17</xdr:row>
      <xdr:rowOff>180975</xdr:rowOff>
    </xdr:from>
    <xdr:to>
      <xdr:col>21</xdr:col>
      <xdr:colOff>590550</xdr:colOff>
      <xdr:row>32</xdr:row>
      <xdr:rowOff>9525</xdr:rowOff>
    </xdr:to>
    <xdr:graphicFrame macro="">
      <xdr:nvGraphicFramePr>
        <xdr:cNvPr id="513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161925</xdr:rowOff>
        </xdr:from>
        <xdr:to>
          <xdr:col>3</xdr:col>
          <xdr:colOff>285750</xdr:colOff>
          <xdr:row>1</xdr:row>
          <xdr:rowOff>323850</xdr:rowOff>
        </xdr:to>
        <xdr:sp macro="" textlink="">
          <xdr:nvSpPr>
            <xdr:cNvPr id="5121" name="buttonRefreshUserSystem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33</xdr:row>
      <xdr:rowOff>47625</xdr:rowOff>
    </xdr:from>
    <xdr:to>
      <xdr:col>16</xdr:col>
      <xdr:colOff>476250</xdr:colOff>
      <xdr:row>58</xdr:row>
      <xdr:rowOff>66675</xdr:rowOff>
    </xdr:to>
    <xdr:graphicFrame macro="">
      <xdr:nvGraphicFramePr>
        <xdr:cNvPr id="61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419100</xdr:colOff>
      <xdr:row>61</xdr:row>
      <xdr:rowOff>0</xdr:rowOff>
    </xdr:from>
    <xdr:to>
      <xdr:col>13</xdr:col>
      <xdr:colOff>257175</xdr:colOff>
      <xdr:row>81</xdr:row>
      <xdr:rowOff>57150</xdr:rowOff>
    </xdr:to>
    <xdr:graphicFrame macro="">
      <xdr:nvGraphicFramePr>
        <xdr:cNvPr id="615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104774</xdr:colOff>
      <xdr:row>83</xdr:row>
      <xdr:rowOff>123825</xdr:rowOff>
    </xdr:from>
    <xdr:to>
      <xdr:col>16</xdr:col>
      <xdr:colOff>457199</xdr:colOff>
      <xdr:row>116</xdr:row>
      <xdr:rowOff>66675</xdr:rowOff>
    </xdr:to>
    <xdr:graphicFrame macro="">
      <xdr:nvGraphicFramePr>
        <xdr:cNvPr id="615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152400</xdr:colOff>
      <xdr:row>4</xdr:row>
      <xdr:rowOff>171450</xdr:rowOff>
    </xdr:from>
    <xdr:to>
      <xdr:col>17</xdr:col>
      <xdr:colOff>9525</xdr:colOff>
      <xdr:row>29</xdr:row>
      <xdr:rowOff>95250</xdr:rowOff>
    </xdr:to>
    <xdr:graphicFrame macro="">
      <xdr:nvGraphicFramePr>
        <xdr:cNvPr id="615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104775</xdr:rowOff>
        </xdr:from>
        <xdr:to>
          <xdr:col>5</xdr:col>
          <xdr:colOff>200025</xdr:colOff>
          <xdr:row>1</xdr:row>
          <xdr:rowOff>285750</xdr:rowOff>
        </xdr:to>
        <xdr:sp macro="" textlink="">
          <xdr:nvSpPr>
            <xdr:cNvPr id="6145" name="buttonRefreshUsageTim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83</xdr:row>
          <xdr:rowOff>180975</xdr:rowOff>
        </xdr:from>
        <xdr:to>
          <xdr:col>3</xdr:col>
          <xdr:colOff>238125</xdr:colOff>
          <xdr:row>85</xdr:row>
          <xdr:rowOff>38100</xdr:rowOff>
        </xdr:to>
        <xdr:sp macro="" textlink="">
          <xdr:nvSpPr>
            <xdr:cNvPr id="2" name="SpinButton1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17</xdr:row>
      <xdr:rowOff>9525</xdr:rowOff>
    </xdr:from>
    <xdr:to>
      <xdr:col>15</xdr:col>
      <xdr:colOff>533400</xdr:colOff>
      <xdr:row>52</xdr:row>
      <xdr:rowOff>57150</xdr:rowOff>
    </xdr:to>
    <xdr:graphicFrame macro="">
      <xdr:nvGraphicFramePr>
        <xdr:cNvPr id="921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0</xdr:row>
          <xdr:rowOff>161925</xdr:rowOff>
        </xdr:from>
        <xdr:to>
          <xdr:col>3</xdr:col>
          <xdr:colOff>438150</xdr:colOff>
          <xdr:row>1</xdr:row>
          <xdr:rowOff>266700</xdr:rowOff>
        </xdr:to>
        <xdr:sp macro="" textlink="">
          <xdr:nvSpPr>
            <xdr:cNvPr id="9217" name="buttonRefresh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"/>
  <dimension ref="A1:F354"/>
  <sheetViews>
    <sheetView zoomScaleNormal="100" workbookViewId="0">
      <selection activeCell="D6" sqref="D6"/>
    </sheetView>
  </sheetViews>
  <sheetFormatPr defaultRowHeight="15" x14ac:dyDescent="0.25"/>
  <cols>
    <col min="1" max="1" width="4.7109375" customWidth="1"/>
    <col min="2" max="2" width="32.7109375" customWidth="1"/>
    <col min="3" max="3" width="55.140625" customWidth="1"/>
    <col min="4" max="4" width="8" customWidth="1"/>
    <col min="5" max="5" width="58.85546875" customWidth="1"/>
    <col min="6" max="6" width="81.140625" customWidth="1"/>
  </cols>
  <sheetData>
    <row r="1" spans="1:6" x14ac:dyDescent="0.25">
      <c r="A1" s="55"/>
      <c r="B1" s="55"/>
      <c r="C1" s="55"/>
      <c r="D1" s="55"/>
      <c r="E1" s="55"/>
      <c r="F1" s="55"/>
    </row>
    <row r="2" spans="1:6" ht="28.5" x14ac:dyDescent="0.45">
      <c r="A2" s="55"/>
      <c r="B2" s="57" t="s">
        <v>0</v>
      </c>
      <c r="C2" s="55"/>
      <c r="D2" s="55"/>
      <c r="E2" s="55"/>
      <c r="F2" s="55"/>
    </row>
    <row r="4" spans="1:6" x14ac:dyDescent="0.25">
      <c r="B4" s="53" t="s">
        <v>44</v>
      </c>
      <c r="C4" s="54"/>
      <c r="D4" s="54"/>
      <c r="E4" s="54"/>
    </row>
    <row r="5" spans="1:6" x14ac:dyDescent="0.25">
      <c r="B5" s="134"/>
      <c r="C5" s="54"/>
      <c r="D5" s="134"/>
      <c r="E5" s="54"/>
    </row>
    <row r="6" spans="1:6" x14ac:dyDescent="0.25">
      <c r="B6" s="54"/>
      <c r="C6" s="54" t="s">
        <v>128</v>
      </c>
      <c r="D6" s="134" t="s">
        <v>101</v>
      </c>
      <c r="E6" s="54"/>
    </row>
    <row r="7" spans="1:6" ht="17.25" customHeight="1" x14ac:dyDescent="0.25">
      <c r="B7" s="54"/>
      <c r="C7" s="54" t="s">
        <v>41</v>
      </c>
      <c r="D7" s="134" t="s">
        <v>127</v>
      </c>
      <c r="E7" s="54"/>
    </row>
    <row r="8" spans="1:6" x14ac:dyDescent="0.25">
      <c r="B8" s="43"/>
    </row>
    <row r="9" spans="1:6" x14ac:dyDescent="0.25">
      <c r="B9" s="46" t="s">
        <v>126</v>
      </c>
      <c r="C9" s="47">
        <v>1</v>
      </c>
      <c r="E9" s="139" t="s">
        <v>106</v>
      </c>
    </row>
    <row r="10" spans="1:6" x14ac:dyDescent="0.25">
      <c r="B10" s="48" t="s">
        <v>42</v>
      </c>
      <c r="C10" s="14">
        <v>7</v>
      </c>
      <c r="E10" s="140"/>
    </row>
    <row r="11" spans="1:6" x14ac:dyDescent="0.25">
      <c r="B11" s="50" t="s">
        <v>43</v>
      </c>
      <c r="C11" s="14">
        <v>14</v>
      </c>
      <c r="E11" s="141"/>
    </row>
    <row r="12" spans="1:6" x14ac:dyDescent="0.25">
      <c r="B12" s="50" t="s">
        <v>27</v>
      </c>
      <c r="C12" s="48">
        <v>1</v>
      </c>
      <c r="E12" s="141"/>
    </row>
    <row r="13" spans="1:6" x14ac:dyDescent="0.25">
      <c r="B13" s="51" t="s">
        <v>89</v>
      </c>
      <c r="C13" s="49">
        <v>1</v>
      </c>
      <c r="E13" s="141"/>
    </row>
    <row r="14" spans="1:6" x14ac:dyDescent="0.25">
      <c r="B14" s="43"/>
      <c r="E14" s="141"/>
    </row>
    <row r="15" spans="1:6" x14ac:dyDescent="0.25">
      <c r="A15" s="88"/>
      <c r="B15" s="66" t="s">
        <v>47</v>
      </c>
      <c r="C15" s="67"/>
      <c r="D15" s="88"/>
      <c r="E15" s="141"/>
    </row>
    <row r="16" spans="1:6" x14ac:dyDescent="0.25">
      <c r="B16" s="61"/>
      <c r="C16" s="13"/>
      <c r="E16" s="141" t="s">
        <v>131</v>
      </c>
    </row>
    <row r="17" spans="2:5" x14ac:dyDescent="0.25">
      <c r="B17" s="62" t="s">
        <v>49</v>
      </c>
      <c r="C17" s="63" t="s">
        <v>50</v>
      </c>
      <c r="E17" s="141"/>
    </row>
    <row r="18" spans="2:5" x14ac:dyDescent="0.25">
      <c r="B18" s="135" t="s">
        <v>129</v>
      </c>
      <c r="C18" s="93" t="s">
        <v>130</v>
      </c>
      <c r="E18" s="141"/>
    </row>
    <row r="19" spans="2:5" x14ac:dyDescent="0.25">
      <c r="B19" s="94"/>
      <c r="C19" s="93"/>
      <c r="E19" s="141"/>
    </row>
    <row r="20" spans="2:5" x14ac:dyDescent="0.25">
      <c r="B20" s="94"/>
      <c r="C20" s="93"/>
      <c r="E20" s="141"/>
    </row>
    <row r="21" spans="2:5" x14ac:dyDescent="0.25">
      <c r="B21" s="94"/>
      <c r="C21" s="93"/>
      <c r="E21" s="141"/>
    </row>
    <row r="22" spans="2:5" x14ac:dyDescent="0.25">
      <c r="B22" s="94"/>
      <c r="C22" s="93"/>
      <c r="E22" s="141"/>
    </row>
    <row r="23" spans="2:5" x14ac:dyDescent="0.25">
      <c r="B23" s="94"/>
      <c r="C23" s="93"/>
      <c r="E23" s="87" t="s">
        <v>107</v>
      </c>
    </row>
    <row r="24" spans="2:5" x14ac:dyDescent="0.25">
      <c r="B24" s="94"/>
      <c r="C24" s="93"/>
      <c r="E24" s="85"/>
    </row>
    <row r="25" spans="2:5" x14ac:dyDescent="0.25">
      <c r="B25" s="94"/>
      <c r="C25" s="93"/>
      <c r="E25" s="85"/>
    </row>
    <row r="26" spans="2:5" x14ac:dyDescent="0.25">
      <c r="B26" s="94"/>
      <c r="C26" s="93"/>
      <c r="E26" s="85"/>
    </row>
    <row r="27" spans="2:5" x14ac:dyDescent="0.25">
      <c r="B27" s="94"/>
      <c r="C27" s="93"/>
      <c r="E27" s="85"/>
    </row>
    <row r="28" spans="2:5" x14ac:dyDescent="0.25">
      <c r="B28" s="94"/>
      <c r="C28" s="93"/>
      <c r="E28" s="85"/>
    </row>
    <row r="29" spans="2:5" x14ac:dyDescent="0.25">
      <c r="B29" s="94"/>
      <c r="C29" s="93"/>
      <c r="E29" s="85"/>
    </row>
    <row r="30" spans="2:5" x14ac:dyDescent="0.25">
      <c r="B30" s="94"/>
      <c r="C30" s="93"/>
      <c r="E30" s="85"/>
    </row>
    <row r="31" spans="2:5" x14ac:dyDescent="0.25">
      <c r="B31" s="94"/>
      <c r="C31" s="93"/>
      <c r="E31" s="85"/>
    </row>
    <row r="32" spans="2:5" x14ac:dyDescent="0.25">
      <c r="B32" s="94"/>
      <c r="C32" s="93"/>
      <c r="E32" s="85"/>
    </row>
    <row r="33" spans="2:5" x14ac:dyDescent="0.25">
      <c r="B33" s="94"/>
      <c r="C33" s="93"/>
      <c r="E33" s="85"/>
    </row>
    <row r="34" spans="2:5" x14ac:dyDescent="0.25">
      <c r="B34" s="94"/>
      <c r="C34" s="93"/>
      <c r="E34" s="85"/>
    </row>
    <row r="35" spans="2:5" x14ac:dyDescent="0.25">
      <c r="B35" s="94"/>
      <c r="C35" s="93"/>
      <c r="E35" s="85"/>
    </row>
    <row r="36" spans="2:5" x14ac:dyDescent="0.25">
      <c r="B36" s="94"/>
      <c r="C36" s="93"/>
      <c r="E36" s="85"/>
    </row>
    <row r="37" spans="2:5" x14ac:dyDescent="0.25">
      <c r="B37" s="94"/>
      <c r="C37" s="93"/>
      <c r="E37" s="85"/>
    </row>
    <row r="38" spans="2:5" x14ac:dyDescent="0.25">
      <c r="B38" s="94"/>
      <c r="C38" s="93"/>
      <c r="E38" s="86"/>
    </row>
    <row r="39" spans="2:5" x14ac:dyDescent="0.25">
      <c r="B39" s="94"/>
      <c r="C39" s="93"/>
    </row>
    <row r="40" spans="2:5" x14ac:dyDescent="0.25">
      <c r="B40" s="94"/>
      <c r="C40" s="93"/>
    </row>
    <row r="41" spans="2:5" x14ac:dyDescent="0.25">
      <c r="B41" s="94"/>
      <c r="C41" s="93"/>
    </row>
    <row r="42" spans="2:5" x14ac:dyDescent="0.25">
      <c r="B42" s="94"/>
      <c r="C42" s="93"/>
    </row>
    <row r="43" spans="2:5" x14ac:dyDescent="0.25">
      <c r="B43" s="94"/>
      <c r="C43" s="93"/>
    </row>
    <row r="44" spans="2:5" x14ac:dyDescent="0.25">
      <c r="B44" s="94"/>
      <c r="C44" s="93"/>
    </row>
    <row r="45" spans="2:5" x14ac:dyDescent="0.25">
      <c r="B45" s="94"/>
      <c r="C45" s="93"/>
    </row>
    <row r="46" spans="2:5" x14ac:dyDescent="0.25">
      <c r="B46" s="94"/>
      <c r="C46" s="93"/>
    </row>
    <row r="47" spans="2:5" x14ac:dyDescent="0.25">
      <c r="B47" s="94"/>
      <c r="C47" s="93"/>
    </row>
    <row r="48" spans="2:5" x14ac:dyDescent="0.25">
      <c r="B48" s="94"/>
      <c r="C48" s="93"/>
    </row>
    <row r="49" spans="2:3" x14ac:dyDescent="0.25">
      <c r="B49" s="94"/>
      <c r="C49" s="93"/>
    </row>
    <row r="50" spans="2:3" x14ac:dyDescent="0.25">
      <c r="B50" s="94"/>
      <c r="C50" s="93"/>
    </row>
    <row r="51" spans="2:3" x14ac:dyDescent="0.25">
      <c r="B51" s="94"/>
      <c r="C51" s="93"/>
    </row>
    <row r="52" spans="2:3" x14ac:dyDescent="0.25">
      <c r="B52" s="94"/>
      <c r="C52" s="93"/>
    </row>
    <row r="53" spans="2:3" x14ac:dyDescent="0.25">
      <c r="B53" s="94"/>
      <c r="C53" s="93"/>
    </row>
    <row r="54" spans="2:3" x14ac:dyDescent="0.25">
      <c r="B54" s="94"/>
      <c r="C54" s="93"/>
    </row>
    <row r="55" spans="2:3" x14ac:dyDescent="0.25">
      <c r="B55" s="94"/>
      <c r="C55" s="93"/>
    </row>
    <row r="56" spans="2:3" x14ac:dyDescent="0.25">
      <c r="B56" s="94"/>
      <c r="C56" s="93"/>
    </row>
    <row r="57" spans="2:3" x14ac:dyDescent="0.25">
      <c r="B57" s="94"/>
      <c r="C57" s="93"/>
    </row>
    <row r="58" spans="2:3" x14ac:dyDescent="0.25">
      <c r="B58" s="94"/>
      <c r="C58" s="93"/>
    </row>
    <row r="59" spans="2:3" x14ac:dyDescent="0.25">
      <c r="B59" s="94"/>
      <c r="C59" s="93"/>
    </row>
    <row r="60" spans="2:3" x14ac:dyDescent="0.25">
      <c r="B60" s="94"/>
      <c r="C60" s="93"/>
    </row>
    <row r="61" spans="2:3" x14ac:dyDescent="0.25">
      <c r="B61" s="94"/>
      <c r="C61" s="93"/>
    </row>
    <row r="62" spans="2:3" x14ac:dyDescent="0.25">
      <c r="B62" s="94"/>
      <c r="C62" s="93"/>
    </row>
    <row r="63" spans="2:3" x14ac:dyDescent="0.25">
      <c r="B63" s="94"/>
      <c r="C63" s="93"/>
    </row>
    <row r="64" spans="2:3" x14ac:dyDescent="0.25">
      <c r="B64" s="94"/>
      <c r="C64" s="93"/>
    </row>
    <row r="65" spans="2:3" x14ac:dyDescent="0.25">
      <c r="B65" s="94"/>
      <c r="C65" s="93"/>
    </row>
    <row r="66" spans="2:3" x14ac:dyDescent="0.25">
      <c r="B66" s="94"/>
      <c r="C66" s="93"/>
    </row>
    <row r="67" spans="2:3" x14ac:dyDescent="0.25">
      <c r="B67" s="94"/>
      <c r="C67" s="93"/>
    </row>
    <row r="68" spans="2:3" x14ac:dyDescent="0.25">
      <c r="B68" s="94"/>
      <c r="C68" s="93"/>
    </row>
    <row r="69" spans="2:3" x14ac:dyDescent="0.25">
      <c r="B69" s="94"/>
      <c r="C69" s="93"/>
    </row>
    <row r="70" spans="2:3" x14ac:dyDescent="0.25">
      <c r="B70" s="94"/>
      <c r="C70" s="93"/>
    </row>
    <row r="71" spans="2:3" x14ac:dyDescent="0.25">
      <c r="B71" s="94"/>
      <c r="C71" s="93"/>
    </row>
    <row r="72" spans="2:3" x14ac:dyDescent="0.25">
      <c r="B72" s="94"/>
      <c r="C72" s="93"/>
    </row>
    <row r="73" spans="2:3" x14ac:dyDescent="0.25">
      <c r="B73" s="94"/>
      <c r="C73" s="93"/>
    </row>
    <row r="74" spans="2:3" x14ac:dyDescent="0.25">
      <c r="B74" s="94"/>
      <c r="C74" s="93"/>
    </row>
    <row r="75" spans="2:3" x14ac:dyDescent="0.25">
      <c r="B75" s="94"/>
      <c r="C75" s="93"/>
    </row>
    <row r="76" spans="2:3" x14ac:dyDescent="0.25">
      <c r="B76" s="94"/>
      <c r="C76" s="93"/>
    </row>
    <row r="77" spans="2:3" x14ac:dyDescent="0.25">
      <c r="B77" s="94"/>
      <c r="C77" s="93"/>
    </row>
    <row r="78" spans="2:3" x14ac:dyDescent="0.25">
      <c r="B78" s="94"/>
      <c r="C78" s="93"/>
    </row>
    <row r="79" spans="2:3" x14ac:dyDescent="0.25">
      <c r="B79" s="94"/>
      <c r="C79" s="93"/>
    </row>
    <row r="80" spans="2:3" x14ac:dyDescent="0.25">
      <c r="B80" s="94"/>
      <c r="C80" s="93"/>
    </row>
    <row r="81" spans="2:3" x14ac:dyDescent="0.25">
      <c r="B81" s="94"/>
      <c r="C81" s="93"/>
    </row>
    <row r="82" spans="2:3" x14ac:dyDescent="0.25">
      <c r="B82" s="94"/>
      <c r="C82" s="93"/>
    </row>
    <row r="83" spans="2:3" x14ac:dyDescent="0.25">
      <c r="B83" s="94"/>
      <c r="C83" s="93"/>
    </row>
    <row r="84" spans="2:3" x14ac:dyDescent="0.25">
      <c r="B84" s="94"/>
      <c r="C84" s="93"/>
    </row>
    <row r="85" spans="2:3" x14ac:dyDescent="0.25">
      <c r="B85" s="94"/>
      <c r="C85" s="93"/>
    </row>
    <row r="86" spans="2:3" x14ac:dyDescent="0.25">
      <c r="B86" s="94"/>
      <c r="C86" s="93"/>
    </row>
    <row r="87" spans="2:3" x14ac:dyDescent="0.25">
      <c r="B87" s="94"/>
      <c r="C87" s="93"/>
    </row>
    <row r="88" spans="2:3" x14ac:dyDescent="0.25">
      <c r="B88" s="94"/>
      <c r="C88" s="93"/>
    </row>
    <row r="89" spans="2:3" x14ac:dyDescent="0.25">
      <c r="B89" s="94"/>
      <c r="C89" s="93"/>
    </row>
    <row r="90" spans="2:3" x14ac:dyDescent="0.25">
      <c r="B90" s="94"/>
      <c r="C90" s="93"/>
    </row>
    <row r="91" spans="2:3" x14ac:dyDescent="0.25">
      <c r="B91" s="94"/>
      <c r="C91" s="93"/>
    </row>
    <row r="92" spans="2:3" x14ac:dyDescent="0.25">
      <c r="B92" s="94"/>
      <c r="C92" s="93"/>
    </row>
    <row r="93" spans="2:3" x14ac:dyDescent="0.25">
      <c r="B93" s="94"/>
      <c r="C93" s="93"/>
    </row>
    <row r="94" spans="2:3" x14ac:dyDescent="0.25">
      <c r="B94" s="94"/>
      <c r="C94" s="93"/>
    </row>
    <row r="95" spans="2:3" x14ac:dyDescent="0.25">
      <c r="B95" s="94"/>
      <c r="C95" s="93"/>
    </row>
    <row r="96" spans="2:3" x14ac:dyDescent="0.25">
      <c r="B96" s="94"/>
      <c r="C96" s="93"/>
    </row>
    <row r="97" spans="2:3" x14ac:dyDescent="0.25">
      <c r="B97" s="94"/>
      <c r="C97" s="93"/>
    </row>
    <row r="98" spans="2:3" x14ac:dyDescent="0.25">
      <c r="B98" s="94"/>
      <c r="C98" s="93"/>
    </row>
    <row r="99" spans="2:3" x14ac:dyDescent="0.25">
      <c r="B99" s="94"/>
      <c r="C99" s="93"/>
    </row>
    <row r="100" spans="2:3" x14ac:dyDescent="0.25">
      <c r="B100" s="94"/>
      <c r="C100" s="93"/>
    </row>
    <row r="101" spans="2:3" x14ac:dyDescent="0.25">
      <c r="B101" s="94"/>
      <c r="C101" s="93"/>
    </row>
    <row r="102" spans="2:3" x14ac:dyDescent="0.25">
      <c r="B102" s="94"/>
      <c r="C102" s="93"/>
    </row>
    <row r="103" spans="2:3" x14ac:dyDescent="0.25">
      <c r="B103" s="94"/>
      <c r="C103" s="93"/>
    </row>
    <row r="104" spans="2:3" x14ac:dyDescent="0.25">
      <c r="B104" s="94"/>
      <c r="C104" s="93"/>
    </row>
    <row r="105" spans="2:3" x14ac:dyDescent="0.25">
      <c r="B105" s="94"/>
      <c r="C105" s="93"/>
    </row>
    <row r="106" spans="2:3" x14ac:dyDescent="0.25">
      <c r="B106" s="94"/>
      <c r="C106" s="93"/>
    </row>
    <row r="107" spans="2:3" x14ac:dyDescent="0.25">
      <c r="B107" s="94"/>
      <c r="C107" s="93"/>
    </row>
    <row r="108" spans="2:3" x14ac:dyDescent="0.25">
      <c r="B108" s="94"/>
      <c r="C108" s="93"/>
    </row>
    <row r="109" spans="2:3" x14ac:dyDescent="0.25">
      <c r="B109" s="94"/>
      <c r="C109" s="93"/>
    </row>
    <row r="110" spans="2:3" x14ac:dyDescent="0.25">
      <c r="B110" s="94"/>
      <c r="C110" s="93"/>
    </row>
    <row r="111" spans="2:3" x14ac:dyDescent="0.25">
      <c r="B111" s="94"/>
      <c r="C111" s="93"/>
    </row>
    <row r="112" spans="2:3" x14ac:dyDescent="0.25">
      <c r="B112" s="94"/>
      <c r="C112" s="93"/>
    </row>
    <row r="113" spans="2:3" x14ac:dyDescent="0.25">
      <c r="B113" s="94"/>
      <c r="C113" s="93"/>
    </row>
    <row r="114" spans="2:3" x14ac:dyDescent="0.25">
      <c r="B114" s="94"/>
      <c r="C114" s="93"/>
    </row>
    <row r="115" spans="2:3" x14ac:dyDescent="0.25">
      <c r="B115" s="94"/>
      <c r="C115" s="93"/>
    </row>
    <row r="116" spans="2:3" x14ac:dyDescent="0.25">
      <c r="B116" s="94"/>
      <c r="C116" s="93"/>
    </row>
    <row r="117" spans="2:3" x14ac:dyDescent="0.25">
      <c r="B117" s="94"/>
      <c r="C117" s="93"/>
    </row>
    <row r="118" spans="2:3" x14ac:dyDescent="0.25">
      <c r="B118" s="94"/>
      <c r="C118" s="93"/>
    </row>
    <row r="119" spans="2:3" x14ac:dyDescent="0.25">
      <c r="B119" s="94"/>
      <c r="C119" s="93"/>
    </row>
    <row r="120" spans="2:3" x14ac:dyDescent="0.25">
      <c r="B120" s="94"/>
      <c r="C120" s="93"/>
    </row>
    <row r="121" spans="2:3" x14ac:dyDescent="0.25">
      <c r="B121" s="94"/>
      <c r="C121" s="93"/>
    </row>
    <row r="122" spans="2:3" x14ac:dyDescent="0.25">
      <c r="B122" s="94"/>
      <c r="C122" s="93"/>
    </row>
    <row r="123" spans="2:3" x14ac:dyDescent="0.25">
      <c r="B123" s="94"/>
      <c r="C123" s="93"/>
    </row>
    <row r="124" spans="2:3" x14ac:dyDescent="0.25">
      <c r="B124" s="94"/>
      <c r="C124" s="93"/>
    </row>
    <row r="125" spans="2:3" x14ac:dyDescent="0.25">
      <c r="B125" s="94"/>
      <c r="C125" s="93"/>
    </row>
    <row r="126" spans="2:3" x14ac:dyDescent="0.25">
      <c r="B126" s="94"/>
      <c r="C126" s="93"/>
    </row>
    <row r="127" spans="2:3" x14ac:dyDescent="0.25">
      <c r="B127" s="94"/>
      <c r="C127" s="93"/>
    </row>
    <row r="128" spans="2:3" x14ac:dyDescent="0.25">
      <c r="B128" s="94"/>
      <c r="C128" s="93"/>
    </row>
    <row r="129" spans="2:3" x14ac:dyDescent="0.25">
      <c r="B129" s="94"/>
      <c r="C129" s="93"/>
    </row>
    <row r="130" spans="2:3" x14ac:dyDescent="0.25">
      <c r="B130" s="94"/>
      <c r="C130" s="93"/>
    </row>
    <row r="131" spans="2:3" x14ac:dyDescent="0.25">
      <c r="B131" s="94"/>
      <c r="C131" s="93"/>
    </row>
    <row r="132" spans="2:3" x14ac:dyDescent="0.25">
      <c r="B132" s="94"/>
      <c r="C132" s="93"/>
    </row>
    <row r="133" spans="2:3" x14ac:dyDescent="0.25">
      <c r="B133" s="94"/>
      <c r="C133" s="93"/>
    </row>
    <row r="134" spans="2:3" x14ac:dyDescent="0.25">
      <c r="B134" s="94"/>
      <c r="C134" s="93"/>
    </row>
    <row r="135" spans="2:3" x14ac:dyDescent="0.25">
      <c r="B135" s="94"/>
      <c r="C135" s="93"/>
    </row>
    <row r="136" spans="2:3" x14ac:dyDescent="0.25">
      <c r="B136" s="94"/>
      <c r="C136" s="93"/>
    </row>
    <row r="137" spans="2:3" x14ac:dyDescent="0.25">
      <c r="B137" s="94"/>
      <c r="C137" s="93"/>
    </row>
    <row r="138" spans="2:3" x14ac:dyDescent="0.25">
      <c r="B138" s="94"/>
      <c r="C138" s="93"/>
    </row>
    <row r="139" spans="2:3" x14ac:dyDescent="0.25">
      <c r="B139" s="94"/>
      <c r="C139" s="93"/>
    </row>
    <row r="140" spans="2:3" x14ac:dyDescent="0.25">
      <c r="B140" s="94"/>
      <c r="C140" s="93"/>
    </row>
    <row r="141" spans="2:3" x14ac:dyDescent="0.25">
      <c r="B141" s="94"/>
      <c r="C141" s="93"/>
    </row>
    <row r="142" spans="2:3" x14ac:dyDescent="0.25">
      <c r="B142" s="94"/>
      <c r="C142" s="93"/>
    </row>
    <row r="143" spans="2:3" x14ac:dyDescent="0.25">
      <c r="B143" s="94"/>
      <c r="C143" s="93"/>
    </row>
    <row r="144" spans="2:3" x14ac:dyDescent="0.25">
      <c r="B144" s="94"/>
      <c r="C144" s="93"/>
    </row>
    <row r="145" spans="2:3" x14ac:dyDescent="0.25">
      <c r="B145" s="94"/>
      <c r="C145" s="93"/>
    </row>
    <row r="146" spans="2:3" x14ac:dyDescent="0.25">
      <c r="B146" s="94"/>
      <c r="C146" s="93"/>
    </row>
    <row r="147" spans="2:3" x14ac:dyDescent="0.25">
      <c r="B147" s="94"/>
      <c r="C147" s="93"/>
    </row>
    <row r="148" spans="2:3" x14ac:dyDescent="0.25">
      <c r="B148" s="94"/>
      <c r="C148" s="93"/>
    </row>
    <row r="149" spans="2:3" x14ac:dyDescent="0.25">
      <c r="B149" s="94"/>
      <c r="C149" s="93"/>
    </row>
    <row r="150" spans="2:3" x14ac:dyDescent="0.25">
      <c r="B150" s="94"/>
      <c r="C150" s="93"/>
    </row>
    <row r="151" spans="2:3" x14ac:dyDescent="0.25">
      <c r="B151" s="94"/>
      <c r="C151" s="93"/>
    </row>
    <row r="152" spans="2:3" x14ac:dyDescent="0.25">
      <c r="B152" s="94"/>
      <c r="C152" s="93"/>
    </row>
    <row r="153" spans="2:3" x14ac:dyDescent="0.25">
      <c r="B153" s="94"/>
      <c r="C153" s="93"/>
    </row>
    <row r="154" spans="2:3" x14ac:dyDescent="0.25">
      <c r="B154" s="94"/>
      <c r="C154" s="93"/>
    </row>
    <row r="155" spans="2:3" x14ac:dyDescent="0.25">
      <c r="B155" s="94"/>
      <c r="C155" s="93"/>
    </row>
    <row r="156" spans="2:3" x14ac:dyDescent="0.25">
      <c r="B156" s="94"/>
      <c r="C156" s="93"/>
    </row>
    <row r="157" spans="2:3" x14ac:dyDescent="0.25">
      <c r="B157" s="94"/>
      <c r="C157" s="93"/>
    </row>
    <row r="158" spans="2:3" x14ac:dyDescent="0.25">
      <c r="B158" s="94"/>
      <c r="C158" s="93"/>
    </row>
    <row r="159" spans="2:3" x14ac:dyDescent="0.25">
      <c r="B159" s="94"/>
      <c r="C159" s="93"/>
    </row>
    <row r="160" spans="2:3" x14ac:dyDescent="0.25">
      <c r="B160" s="94"/>
      <c r="C160" s="93"/>
    </row>
    <row r="161" spans="2:3" x14ac:dyDescent="0.25">
      <c r="B161" s="94"/>
      <c r="C161" s="93"/>
    </row>
    <row r="162" spans="2:3" x14ac:dyDescent="0.25">
      <c r="B162" s="94"/>
      <c r="C162" s="93"/>
    </row>
    <row r="163" spans="2:3" x14ac:dyDescent="0.25">
      <c r="B163" s="94"/>
      <c r="C163" s="93"/>
    </row>
    <row r="164" spans="2:3" x14ac:dyDescent="0.25">
      <c r="B164" s="94"/>
      <c r="C164" s="93"/>
    </row>
    <row r="165" spans="2:3" x14ac:dyDescent="0.25">
      <c r="B165" s="94"/>
      <c r="C165" s="93"/>
    </row>
    <row r="166" spans="2:3" x14ac:dyDescent="0.25">
      <c r="B166" s="94"/>
      <c r="C166" s="93"/>
    </row>
    <row r="167" spans="2:3" x14ac:dyDescent="0.25">
      <c r="B167" s="94"/>
      <c r="C167" s="93"/>
    </row>
    <row r="168" spans="2:3" x14ac:dyDescent="0.25">
      <c r="B168" s="94"/>
      <c r="C168" s="93"/>
    </row>
    <row r="169" spans="2:3" x14ac:dyDescent="0.25">
      <c r="B169" s="94"/>
      <c r="C169" s="93"/>
    </row>
    <row r="170" spans="2:3" x14ac:dyDescent="0.25">
      <c r="B170" s="94"/>
      <c r="C170" s="93"/>
    </row>
    <row r="171" spans="2:3" x14ac:dyDescent="0.25">
      <c r="B171" s="94"/>
      <c r="C171" s="93"/>
    </row>
    <row r="172" spans="2:3" x14ac:dyDescent="0.25">
      <c r="B172" s="94"/>
      <c r="C172" s="93"/>
    </row>
    <row r="173" spans="2:3" x14ac:dyDescent="0.25">
      <c r="B173" s="94"/>
      <c r="C173" s="93"/>
    </row>
    <row r="174" spans="2:3" x14ac:dyDescent="0.25">
      <c r="B174" s="94"/>
      <c r="C174" s="93"/>
    </row>
    <row r="175" spans="2:3" x14ac:dyDescent="0.25">
      <c r="B175" s="94"/>
      <c r="C175" s="93"/>
    </row>
    <row r="176" spans="2:3" x14ac:dyDescent="0.25">
      <c r="B176" s="94"/>
      <c r="C176" s="93"/>
    </row>
    <row r="177" spans="2:3" x14ac:dyDescent="0.25">
      <c r="B177" s="94"/>
      <c r="C177" s="93"/>
    </row>
    <row r="178" spans="2:3" x14ac:dyDescent="0.25">
      <c r="B178" s="94"/>
      <c r="C178" s="93"/>
    </row>
    <row r="179" spans="2:3" x14ac:dyDescent="0.25">
      <c r="B179" s="94"/>
      <c r="C179" s="93"/>
    </row>
    <row r="180" spans="2:3" x14ac:dyDescent="0.25">
      <c r="B180" s="94"/>
      <c r="C180" s="93"/>
    </row>
    <row r="181" spans="2:3" x14ac:dyDescent="0.25">
      <c r="B181" s="94"/>
      <c r="C181" s="93"/>
    </row>
    <row r="182" spans="2:3" x14ac:dyDescent="0.25">
      <c r="B182" s="94"/>
      <c r="C182" s="93"/>
    </row>
    <row r="183" spans="2:3" x14ac:dyDescent="0.25">
      <c r="B183" s="94"/>
      <c r="C183" s="93"/>
    </row>
    <row r="184" spans="2:3" x14ac:dyDescent="0.25">
      <c r="B184" s="94"/>
      <c r="C184" s="93"/>
    </row>
    <row r="185" spans="2:3" x14ac:dyDescent="0.25">
      <c r="B185" s="94"/>
      <c r="C185" s="93"/>
    </row>
    <row r="186" spans="2:3" x14ac:dyDescent="0.25">
      <c r="B186" s="94"/>
      <c r="C186" s="93"/>
    </row>
    <row r="187" spans="2:3" x14ac:dyDescent="0.25">
      <c r="B187" s="94"/>
      <c r="C187" s="93"/>
    </row>
    <row r="188" spans="2:3" x14ac:dyDescent="0.25">
      <c r="B188" s="94"/>
      <c r="C188" s="93"/>
    </row>
    <row r="189" spans="2:3" x14ac:dyDescent="0.25">
      <c r="B189" s="94"/>
      <c r="C189" s="93"/>
    </row>
    <row r="190" spans="2:3" x14ac:dyDescent="0.25">
      <c r="B190" s="94"/>
      <c r="C190" s="93"/>
    </row>
    <row r="191" spans="2:3" x14ac:dyDescent="0.25">
      <c r="B191" s="94"/>
      <c r="C191" s="93"/>
    </row>
    <row r="192" spans="2:3" x14ac:dyDescent="0.25">
      <c r="B192" s="94"/>
      <c r="C192" s="93"/>
    </row>
    <row r="193" spans="2:3" x14ac:dyDescent="0.25">
      <c r="B193" s="94"/>
      <c r="C193" s="93"/>
    </row>
    <row r="194" spans="2:3" x14ac:dyDescent="0.25">
      <c r="B194" s="94"/>
      <c r="C194" s="93"/>
    </row>
    <row r="195" spans="2:3" x14ac:dyDescent="0.25">
      <c r="B195" s="94"/>
      <c r="C195" s="93"/>
    </row>
    <row r="196" spans="2:3" x14ac:dyDescent="0.25">
      <c r="B196" s="94"/>
      <c r="C196" s="93"/>
    </row>
    <row r="197" spans="2:3" x14ac:dyDescent="0.25">
      <c r="B197" s="94"/>
      <c r="C197" s="93"/>
    </row>
    <row r="198" spans="2:3" x14ac:dyDescent="0.25">
      <c r="B198" s="94"/>
      <c r="C198" s="93"/>
    </row>
    <row r="199" spans="2:3" x14ac:dyDescent="0.25">
      <c r="B199" s="94"/>
      <c r="C199" s="93"/>
    </row>
    <row r="200" spans="2:3" x14ac:dyDescent="0.25">
      <c r="B200" s="94"/>
      <c r="C200" s="93"/>
    </row>
    <row r="201" spans="2:3" x14ac:dyDescent="0.25">
      <c r="B201" s="94"/>
      <c r="C201" s="93"/>
    </row>
    <row r="202" spans="2:3" x14ac:dyDescent="0.25">
      <c r="B202" s="94"/>
      <c r="C202" s="93"/>
    </row>
    <row r="203" spans="2:3" x14ac:dyDescent="0.25">
      <c r="B203" s="94"/>
      <c r="C203" s="93"/>
    </row>
    <row r="204" spans="2:3" x14ac:dyDescent="0.25">
      <c r="B204" s="94"/>
      <c r="C204" s="93"/>
    </row>
    <row r="205" spans="2:3" x14ac:dyDescent="0.25">
      <c r="B205" s="94"/>
      <c r="C205" s="93"/>
    </row>
    <row r="206" spans="2:3" x14ac:dyDescent="0.25">
      <c r="B206" s="94"/>
      <c r="C206" s="93"/>
    </row>
    <row r="207" spans="2:3" x14ac:dyDescent="0.25">
      <c r="B207" s="94"/>
      <c r="C207" s="93"/>
    </row>
    <row r="208" spans="2:3" x14ac:dyDescent="0.25">
      <c r="B208" s="94"/>
      <c r="C208" s="93"/>
    </row>
    <row r="209" spans="2:3" x14ac:dyDescent="0.25">
      <c r="B209" s="94"/>
      <c r="C209" s="93"/>
    </row>
    <row r="210" spans="2:3" x14ac:dyDescent="0.25">
      <c r="B210" s="94"/>
      <c r="C210" s="93"/>
    </row>
    <row r="211" spans="2:3" x14ac:dyDescent="0.25">
      <c r="B211" s="94"/>
      <c r="C211" s="93"/>
    </row>
    <row r="212" spans="2:3" x14ac:dyDescent="0.25">
      <c r="B212" s="94"/>
      <c r="C212" s="93"/>
    </row>
    <row r="213" spans="2:3" x14ac:dyDescent="0.25">
      <c r="B213" s="94"/>
      <c r="C213" s="93"/>
    </row>
    <row r="214" spans="2:3" x14ac:dyDescent="0.25">
      <c r="B214" s="94"/>
      <c r="C214" s="93"/>
    </row>
    <row r="215" spans="2:3" x14ac:dyDescent="0.25">
      <c r="B215" s="94"/>
      <c r="C215" s="93"/>
    </row>
    <row r="216" spans="2:3" x14ac:dyDescent="0.25">
      <c r="B216" s="94"/>
      <c r="C216" s="93"/>
    </row>
    <row r="217" spans="2:3" x14ac:dyDescent="0.25">
      <c r="B217" s="94"/>
      <c r="C217" s="93"/>
    </row>
    <row r="218" spans="2:3" x14ac:dyDescent="0.25">
      <c r="B218" s="94"/>
      <c r="C218" s="93"/>
    </row>
    <row r="219" spans="2:3" x14ac:dyDescent="0.25">
      <c r="B219" s="94"/>
      <c r="C219" s="93"/>
    </row>
    <row r="220" spans="2:3" x14ac:dyDescent="0.25">
      <c r="B220" s="94"/>
      <c r="C220" s="93"/>
    </row>
    <row r="221" spans="2:3" x14ac:dyDescent="0.25">
      <c r="B221" s="94"/>
      <c r="C221" s="93"/>
    </row>
    <row r="222" spans="2:3" x14ac:dyDescent="0.25">
      <c r="B222" s="94"/>
      <c r="C222" s="93"/>
    </row>
    <row r="223" spans="2:3" x14ac:dyDescent="0.25">
      <c r="B223" s="94"/>
      <c r="C223" s="93"/>
    </row>
    <row r="224" spans="2:3" x14ac:dyDescent="0.25">
      <c r="B224" s="94"/>
      <c r="C224" s="93"/>
    </row>
    <row r="225" spans="2:3" x14ac:dyDescent="0.25">
      <c r="B225" s="94"/>
      <c r="C225" s="93"/>
    </row>
    <row r="226" spans="2:3" x14ac:dyDescent="0.25">
      <c r="B226" s="94"/>
      <c r="C226" s="93"/>
    </row>
    <row r="227" spans="2:3" x14ac:dyDescent="0.25">
      <c r="B227" s="94"/>
      <c r="C227" s="93"/>
    </row>
    <row r="228" spans="2:3" x14ac:dyDescent="0.25">
      <c r="B228" s="94"/>
      <c r="C228" s="93"/>
    </row>
    <row r="229" spans="2:3" x14ac:dyDescent="0.25">
      <c r="B229" s="94"/>
      <c r="C229" s="93"/>
    </row>
    <row r="230" spans="2:3" x14ac:dyDescent="0.25">
      <c r="B230" s="94"/>
      <c r="C230" s="93"/>
    </row>
    <row r="231" spans="2:3" x14ac:dyDescent="0.25">
      <c r="B231" s="94"/>
      <c r="C231" s="93"/>
    </row>
    <row r="232" spans="2:3" x14ac:dyDescent="0.25">
      <c r="B232" s="94"/>
      <c r="C232" s="93"/>
    </row>
    <row r="233" spans="2:3" x14ac:dyDescent="0.25">
      <c r="B233" s="94"/>
      <c r="C233" s="93"/>
    </row>
    <row r="234" spans="2:3" x14ac:dyDescent="0.25">
      <c r="B234" s="94"/>
      <c r="C234" s="93"/>
    </row>
    <row r="235" spans="2:3" x14ac:dyDescent="0.25">
      <c r="B235" s="94"/>
      <c r="C235" s="93"/>
    </row>
    <row r="236" spans="2:3" x14ac:dyDescent="0.25">
      <c r="B236" s="94"/>
      <c r="C236" s="93"/>
    </row>
    <row r="237" spans="2:3" x14ac:dyDescent="0.25">
      <c r="B237" s="94"/>
      <c r="C237" s="93"/>
    </row>
    <row r="238" spans="2:3" x14ac:dyDescent="0.25">
      <c r="B238" s="94"/>
      <c r="C238" s="93"/>
    </row>
    <row r="239" spans="2:3" x14ac:dyDescent="0.25">
      <c r="B239" s="94"/>
      <c r="C239" s="93"/>
    </row>
    <row r="240" spans="2:3" x14ac:dyDescent="0.25">
      <c r="B240" s="94"/>
      <c r="C240" s="93"/>
    </row>
    <row r="241" spans="2:3" x14ac:dyDescent="0.25">
      <c r="B241" s="94"/>
      <c r="C241" s="93"/>
    </row>
    <row r="242" spans="2:3" x14ac:dyDescent="0.25">
      <c r="B242" s="94"/>
      <c r="C242" s="93"/>
    </row>
    <row r="243" spans="2:3" x14ac:dyDescent="0.25">
      <c r="B243" s="94"/>
      <c r="C243" s="93"/>
    </row>
    <row r="244" spans="2:3" x14ac:dyDescent="0.25">
      <c r="B244" s="94"/>
      <c r="C244" s="93"/>
    </row>
    <row r="245" spans="2:3" x14ac:dyDescent="0.25">
      <c r="B245" s="94"/>
      <c r="C245" s="93"/>
    </row>
    <row r="246" spans="2:3" x14ac:dyDescent="0.25">
      <c r="B246" s="94"/>
      <c r="C246" s="93"/>
    </row>
    <row r="247" spans="2:3" x14ac:dyDescent="0.25">
      <c r="B247" s="94"/>
      <c r="C247" s="93"/>
    </row>
    <row r="248" spans="2:3" x14ac:dyDescent="0.25">
      <c r="B248" s="94"/>
      <c r="C248" s="93"/>
    </row>
    <row r="249" spans="2:3" x14ac:dyDescent="0.25">
      <c r="B249" s="94"/>
      <c r="C249" s="93"/>
    </row>
    <row r="250" spans="2:3" x14ac:dyDescent="0.25">
      <c r="B250" s="94"/>
      <c r="C250" s="93"/>
    </row>
    <row r="251" spans="2:3" x14ac:dyDescent="0.25">
      <c r="B251" s="94"/>
      <c r="C251" s="93"/>
    </row>
    <row r="252" spans="2:3" x14ac:dyDescent="0.25">
      <c r="B252" s="94"/>
      <c r="C252" s="93"/>
    </row>
    <row r="253" spans="2:3" x14ac:dyDescent="0.25">
      <c r="B253" s="94"/>
      <c r="C253" s="93"/>
    </row>
    <row r="254" spans="2:3" x14ac:dyDescent="0.25">
      <c r="B254" s="94"/>
      <c r="C254" s="93"/>
    </row>
    <row r="255" spans="2:3" x14ac:dyDescent="0.25">
      <c r="B255" s="94"/>
      <c r="C255" s="93"/>
    </row>
    <row r="256" spans="2:3" x14ac:dyDescent="0.25">
      <c r="B256" s="94"/>
      <c r="C256" s="93"/>
    </row>
    <row r="257" spans="2:3" x14ac:dyDescent="0.25">
      <c r="B257" s="94"/>
      <c r="C257" s="93"/>
    </row>
    <row r="258" spans="2:3" x14ac:dyDescent="0.25">
      <c r="B258" s="94"/>
      <c r="C258" s="93"/>
    </row>
    <row r="259" spans="2:3" x14ac:dyDescent="0.25">
      <c r="B259" s="94"/>
      <c r="C259" s="93"/>
    </row>
    <row r="260" spans="2:3" x14ac:dyDescent="0.25">
      <c r="B260" s="94"/>
      <c r="C260" s="93"/>
    </row>
    <row r="261" spans="2:3" x14ac:dyDescent="0.25">
      <c r="B261" s="94"/>
      <c r="C261" s="93"/>
    </row>
    <row r="262" spans="2:3" x14ac:dyDescent="0.25">
      <c r="B262" s="94"/>
      <c r="C262" s="93"/>
    </row>
    <row r="263" spans="2:3" x14ac:dyDescent="0.25">
      <c r="B263" s="94"/>
      <c r="C263" s="93"/>
    </row>
    <row r="264" spans="2:3" x14ac:dyDescent="0.25">
      <c r="B264" s="94"/>
      <c r="C264" s="93"/>
    </row>
    <row r="265" spans="2:3" x14ac:dyDescent="0.25">
      <c r="B265" s="94"/>
      <c r="C265" s="93"/>
    </row>
    <row r="266" spans="2:3" x14ac:dyDescent="0.25">
      <c r="B266" s="94"/>
      <c r="C266" s="93"/>
    </row>
    <row r="267" spans="2:3" x14ac:dyDescent="0.25">
      <c r="B267" s="94"/>
      <c r="C267" s="93"/>
    </row>
    <row r="268" spans="2:3" x14ac:dyDescent="0.25">
      <c r="B268" s="94"/>
      <c r="C268" s="93"/>
    </row>
    <row r="269" spans="2:3" x14ac:dyDescent="0.25">
      <c r="B269" s="94"/>
      <c r="C269" s="93"/>
    </row>
    <row r="270" spans="2:3" x14ac:dyDescent="0.25">
      <c r="B270" s="94"/>
      <c r="C270" s="93"/>
    </row>
    <row r="271" spans="2:3" x14ac:dyDescent="0.25">
      <c r="B271" s="94"/>
      <c r="C271" s="93"/>
    </row>
    <row r="272" spans="2:3" x14ac:dyDescent="0.25">
      <c r="B272" s="94"/>
      <c r="C272" s="93"/>
    </row>
    <row r="273" spans="2:3" x14ac:dyDescent="0.25">
      <c r="B273" s="94"/>
      <c r="C273" s="93"/>
    </row>
    <row r="274" spans="2:3" x14ac:dyDescent="0.25">
      <c r="B274" s="94"/>
      <c r="C274" s="93"/>
    </row>
    <row r="275" spans="2:3" x14ac:dyDescent="0.25">
      <c r="B275" s="94"/>
      <c r="C275" s="93"/>
    </row>
    <row r="276" spans="2:3" x14ac:dyDescent="0.25">
      <c r="B276" s="94"/>
      <c r="C276" s="93"/>
    </row>
    <row r="277" spans="2:3" x14ac:dyDescent="0.25">
      <c r="B277" s="94"/>
      <c r="C277" s="93"/>
    </row>
    <row r="278" spans="2:3" x14ac:dyDescent="0.25">
      <c r="B278" s="94"/>
      <c r="C278" s="93"/>
    </row>
    <row r="279" spans="2:3" x14ac:dyDescent="0.25">
      <c r="B279" s="94"/>
      <c r="C279" s="93"/>
    </row>
    <row r="280" spans="2:3" x14ac:dyDescent="0.25">
      <c r="B280" s="94"/>
      <c r="C280" s="93"/>
    </row>
    <row r="281" spans="2:3" x14ac:dyDescent="0.25">
      <c r="B281" s="94"/>
      <c r="C281" s="93"/>
    </row>
    <row r="282" spans="2:3" x14ac:dyDescent="0.25">
      <c r="B282" s="94"/>
      <c r="C282" s="93"/>
    </row>
    <row r="283" spans="2:3" x14ac:dyDescent="0.25">
      <c r="B283" s="94"/>
      <c r="C283" s="93"/>
    </row>
    <row r="284" spans="2:3" x14ac:dyDescent="0.25">
      <c r="B284" s="94"/>
      <c r="C284" s="93"/>
    </row>
    <row r="285" spans="2:3" x14ac:dyDescent="0.25">
      <c r="B285" s="94"/>
      <c r="C285" s="93"/>
    </row>
    <row r="286" spans="2:3" x14ac:dyDescent="0.25">
      <c r="B286" s="94"/>
      <c r="C286" s="93"/>
    </row>
    <row r="287" spans="2:3" x14ac:dyDescent="0.25">
      <c r="B287" s="94"/>
      <c r="C287" s="93"/>
    </row>
    <row r="288" spans="2:3" x14ac:dyDescent="0.25">
      <c r="B288" s="94"/>
      <c r="C288" s="93"/>
    </row>
    <row r="289" spans="2:3" x14ac:dyDescent="0.25">
      <c r="B289" s="94"/>
      <c r="C289" s="93"/>
    </row>
    <row r="290" spans="2:3" x14ac:dyDescent="0.25">
      <c r="B290" s="94"/>
      <c r="C290" s="93"/>
    </row>
    <row r="291" spans="2:3" x14ac:dyDescent="0.25">
      <c r="B291" s="94"/>
      <c r="C291" s="93"/>
    </row>
    <row r="292" spans="2:3" x14ac:dyDescent="0.25">
      <c r="B292" s="94"/>
      <c r="C292" s="93"/>
    </row>
    <row r="293" spans="2:3" x14ac:dyDescent="0.25">
      <c r="B293" s="94"/>
      <c r="C293" s="93"/>
    </row>
    <row r="294" spans="2:3" x14ac:dyDescent="0.25">
      <c r="B294" s="94"/>
      <c r="C294" s="93"/>
    </row>
    <row r="295" spans="2:3" x14ac:dyDescent="0.25">
      <c r="B295" s="94"/>
      <c r="C295" s="93"/>
    </row>
    <row r="296" spans="2:3" x14ac:dyDescent="0.25">
      <c r="B296" s="94"/>
      <c r="C296" s="93"/>
    </row>
    <row r="297" spans="2:3" x14ac:dyDescent="0.25">
      <c r="B297" s="94"/>
      <c r="C297" s="93"/>
    </row>
    <row r="298" spans="2:3" x14ac:dyDescent="0.25">
      <c r="B298" s="94"/>
      <c r="C298" s="93"/>
    </row>
    <row r="299" spans="2:3" x14ac:dyDescent="0.25">
      <c r="B299" s="94"/>
      <c r="C299" s="93"/>
    </row>
    <row r="300" spans="2:3" x14ac:dyDescent="0.25">
      <c r="B300" s="94"/>
      <c r="C300" s="93"/>
    </row>
    <row r="301" spans="2:3" x14ac:dyDescent="0.25">
      <c r="B301" s="94"/>
      <c r="C301" s="93"/>
    </row>
    <row r="302" spans="2:3" x14ac:dyDescent="0.25">
      <c r="B302" s="94"/>
      <c r="C302" s="93"/>
    </row>
    <row r="303" spans="2:3" x14ac:dyDescent="0.25">
      <c r="B303" s="94"/>
      <c r="C303" s="93"/>
    </row>
    <row r="304" spans="2:3" x14ac:dyDescent="0.25">
      <c r="B304" s="94"/>
      <c r="C304" s="93"/>
    </row>
    <row r="305" spans="2:3" x14ac:dyDescent="0.25">
      <c r="B305" s="94"/>
      <c r="C305" s="93"/>
    </row>
    <row r="306" spans="2:3" x14ac:dyDescent="0.25">
      <c r="B306" s="94"/>
      <c r="C306" s="93"/>
    </row>
    <row r="307" spans="2:3" x14ac:dyDescent="0.25">
      <c r="B307" s="94"/>
      <c r="C307" s="93"/>
    </row>
    <row r="308" spans="2:3" x14ac:dyDescent="0.25">
      <c r="B308" s="94"/>
      <c r="C308" s="93"/>
    </row>
    <row r="309" spans="2:3" x14ac:dyDescent="0.25">
      <c r="B309" s="94"/>
      <c r="C309" s="93"/>
    </row>
    <row r="310" spans="2:3" x14ac:dyDescent="0.25">
      <c r="B310" s="94"/>
      <c r="C310" s="93"/>
    </row>
    <row r="311" spans="2:3" x14ac:dyDescent="0.25">
      <c r="B311" s="94"/>
      <c r="C311" s="93"/>
    </row>
    <row r="312" spans="2:3" x14ac:dyDescent="0.25">
      <c r="B312" s="94"/>
      <c r="C312" s="93"/>
    </row>
    <row r="313" spans="2:3" x14ac:dyDescent="0.25">
      <c r="B313" s="94"/>
      <c r="C313" s="93"/>
    </row>
    <row r="314" spans="2:3" x14ac:dyDescent="0.25">
      <c r="B314" s="94"/>
      <c r="C314" s="93"/>
    </row>
    <row r="315" spans="2:3" x14ac:dyDescent="0.25">
      <c r="B315" s="94"/>
      <c r="C315" s="93"/>
    </row>
    <row r="316" spans="2:3" x14ac:dyDescent="0.25">
      <c r="B316" s="94"/>
      <c r="C316" s="93"/>
    </row>
    <row r="317" spans="2:3" x14ac:dyDescent="0.25">
      <c r="B317" s="94"/>
      <c r="C317" s="93"/>
    </row>
    <row r="318" spans="2:3" x14ac:dyDescent="0.25">
      <c r="B318" s="94"/>
      <c r="C318" s="93"/>
    </row>
    <row r="319" spans="2:3" x14ac:dyDescent="0.25">
      <c r="B319" s="94"/>
      <c r="C319" s="93"/>
    </row>
    <row r="320" spans="2:3" x14ac:dyDescent="0.25">
      <c r="B320" s="94"/>
      <c r="C320" s="93"/>
    </row>
    <row r="321" spans="2:3" x14ac:dyDescent="0.25">
      <c r="B321" s="94"/>
      <c r="C321" s="93"/>
    </row>
    <row r="322" spans="2:3" x14ac:dyDescent="0.25">
      <c r="B322" s="94"/>
      <c r="C322" s="93"/>
    </row>
    <row r="323" spans="2:3" x14ac:dyDescent="0.25">
      <c r="B323" s="94"/>
      <c r="C323" s="93"/>
    </row>
    <row r="324" spans="2:3" x14ac:dyDescent="0.25">
      <c r="B324" s="94"/>
      <c r="C324" s="93"/>
    </row>
    <row r="325" spans="2:3" x14ac:dyDescent="0.25">
      <c r="B325" s="94"/>
      <c r="C325" s="93"/>
    </row>
    <row r="326" spans="2:3" x14ac:dyDescent="0.25">
      <c r="B326" s="94"/>
      <c r="C326" s="93"/>
    </row>
    <row r="327" spans="2:3" x14ac:dyDescent="0.25">
      <c r="B327" s="94"/>
      <c r="C327" s="93"/>
    </row>
    <row r="328" spans="2:3" x14ac:dyDescent="0.25">
      <c r="B328" s="94"/>
      <c r="C328" s="93"/>
    </row>
    <row r="329" spans="2:3" x14ac:dyDescent="0.25">
      <c r="B329" s="94"/>
      <c r="C329" s="93"/>
    </row>
    <row r="330" spans="2:3" x14ac:dyDescent="0.25">
      <c r="B330" s="94"/>
      <c r="C330" s="93"/>
    </row>
    <row r="331" spans="2:3" x14ac:dyDescent="0.25">
      <c r="B331" s="94"/>
      <c r="C331" s="93"/>
    </row>
    <row r="332" spans="2:3" x14ac:dyDescent="0.25">
      <c r="B332" s="94"/>
      <c r="C332" s="93"/>
    </row>
    <row r="333" spans="2:3" x14ac:dyDescent="0.25">
      <c r="B333" s="94"/>
      <c r="C333" s="93"/>
    </row>
    <row r="334" spans="2:3" x14ac:dyDescent="0.25">
      <c r="B334" s="94"/>
      <c r="C334" s="93"/>
    </row>
    <row r="335" spans="2:3" x14ac:dyDescent="0.25">
      <c r="B335" s="94"/>
      <c r="C335" s="93"/>
    </row>
    <row r="336" spans="2:3" x14ac:dyDescent="0.25">
      <c r="B336" s="94"/>
      <c r="C336" s="93"/>
    </row>
    <row r="337" spans="2:3" x14ac:dyDescent="0.25">
      <c r="B337" s="94"/>
      <c r="C337" s="93"/>
    </row>
    <row r="338" spans="2:3" x14ac:dyDescent="0.25">
      <c r="B338" s="94"/>
      <c r="C338" s="93"/>
    </row>
    <row r="339" spans="2:3" x14ac:dyDescent="0.25">
      <c r="B339" s="94"/>
      <c r="C339" s="93"/>
    </row>
    <row r="340" spans="2:3" x14ac:dyDescent="0.25">
      <c r="B340" s="94"/>
      <c r="C340" s="93"/>
    </row>
    <row r="341" spans="2:3" x14ac:dyDescent="0.25">
      <c r="B341" s="94"/>
      <c r="C341" s="93"/>
    </row>
    <row r="342" spans="2:3" x14ac:dyDescent="0.25">
      <c r="B342" s="94"/>
      <c r="C342" s="93"/>
    </row>
    <row r="343" spans="2:3" x14ac:dyDescent="0.25">
      <c r="B343" s="94"/>
      <c r="C343" s="93"/>
    </row>
    <row r="344" spans="2:3" x14ac:dyDescent="0.25">
      <c r="B344" s="94"/>
      <c r="C344" s="93"/>
    </row>
    <row r="345" spans="2:3" x14ac:dyDescent="0.25">
      <c r="B345" s="94"/>
      <c r="C345" s="93"/>
    </row>
    <row r="346" spans="2:3" x14ac:dyDescent="0.25">
      <c r="B346" s="94"/>
      <c r="C346" s="93"/>
    </row>
    <row r="347" spans="2:3" x14ac:dyDescent="0.25">
      <c r="B347" s="94"/>
      <c r="C347" s="93"/>
    </row>
    <row r="348" spans="2:3" x14ac:dyDescent="0.25">
      <c r="B348" s="94"/>
      <c r="C348" s="93"/>
    </row>
    <row r="349" spans="2:3" x14ac:dyDescent="0.25">
      <c r="B349" s="94"/>
      <c r="C349" s="93"/>
    </row>
    <row r="350" spans="2:3" x14ac:dyDescent="0.25">
      <c r="B350" s="94"/>
      <c r="C350" s="93"/>
    </row>
    <row r="351" spans="2:3" x14ac:dyDescent="0.25">
      <c r="B351" s="94"/>
      <c r="C351" s="93"/>
    </row>
    <row r="352" spans="2:3" x14ac:dyDescent="0.25">
      <c r="B352" s="94"/>
      <c r="C352" s="93"/>
    </row>
    <row r="353" spans="2:3" x14ac:dyDescent="0.25">
      <c r="B353" s="94"/>
      <c r="C353" s="93"/>
    </row>
    <row r="354" spans="2:3" x14ac:dyDescent="0.25">
      <c r="B354" s="94"/>
      <c r="C354" s="9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uttonRefresh">
          <controlPr defaultSize="0" autoLine="0" r:id="rId5">
            <anchor moveWithCells="1">
              <from>
                <xdr:col>2</xdr:col>
                <xdr:colOff>200025</xdr:colOff>
                <xdr:row>0</xdr:row>
                <xdr:rowOff>104775</xdr:rowOff>
              </from>
              <to>
                <xdr:col>2</xdr:col>
                <xdr:colOff>2009775</xdr:colOff>
                <xdr:row>1</xdr:row>
                <xdr:rowOff>276225</xdr:rowOff>
              </to>
            </anchor>
          </controlPr>
        </control>
      </mc:Choice>
      <mc:Fallback>
        <control shapeId="2050" r:id="rId4" name="buttonRefresh"/>
      </mc:Fallback>
    </mc:AlternateContent>
    <mc:AlternateContent xmlns:mc="http://schemas.openxmlformats.org/markup-compatibility/2006">
      <mc:Choice Requires="x14">
        <control shapeId="2053" r:id="rId6" name="optionsUseSQLServer">
          <controlPr defaultSize="0" autoLine="0" r:id="rId7">
            <anchor moveWithCells="1">
              <from>
                <xdr:col>1</xdr:col>
                <xdr:colOff>85725</xdr:colOff>
                <xdr:row>4</xdr:row>
                <xdr:rowOff>133350</xdr:rowOff>
              </from>
              <to>
                <xdr:col>1</xdr:col>
                <xdr:colOff>923925</xdr:colOff>
                <xdr:row>6</xdr:row>
                <xdr:rowOff>0</xdr:rowOff>
              </to>
            </anchor>
          </controlPr>
        </control>
      </mc:Choice>
      <mc:Fallback>
        <control shapeId="2053" r:id="rId6" name="optionsUseSQLServer"/>
      </mc:Fallback>
    </mc:AlternateContent>
    <mc:AlternateContent xmlns:mc="http://schemas.openxmlformats.org/markup-compatibility/2006">
      <mc:Choice Requires="x14">
        <control shapeId="2054" r:id="rId8" name="optionUseMDB">
          <controlPr defaultSize="0" autoLine="0" r:id="rId9">
            <anchor moveWithCells="1">
              <from>
                <xdr:col>1</xdr:col>
                <xdr:colOff>85725</xdr:colOff>
                <xdr:row>5</xdr:row>
                <xdr:rowOff>171450</xdr:rowOff>
              </from>
              <to>
                <xdr:col>1</xdr:col>
                <xdr:colOff>981075</xdr:colOff>
                <xdr:row>6</xdr:row>
                <xdr:rowOff>200025</xdr:rowOff>
              </to>
            </anchor>
          </controlPr>
        </control>
      </mc:Choice>
      <mc:Fallback>
        <control shapeId="2054" r:id="rId8" name="optionUseMDB"/>
      </mc:Fallback>
    </mc:AlternateContent>
    <mc:AlternateContent xmlns:mc="http://schemas.openxmlformats.org/markup-compatibility/2006">
      <mc:Choice Requires="x14">
        <control shapeId="2056" r:id="rId10" name="CheckBoxFilterIPs">
          <controlPr defaultSize="0" autoLine="0" r:id="rId11">
            <anchor moveWithCells="1">
              <from>
                <xdr:col>4</xdr:col>
                <xdr:colOff>66675</xdr:colOff>
                <xdr:row>20</xdr:row>
                <xdr:rowOff>57150</xdr:rowOff>
              </from>
              <to>
                <xdr:col>4</xdr:col>
                <xdr:colOff>1257300</xdr:colOff>
                <xdr:row>21</xdr:row>
                <xdr:rowOff>152400</xdr:rowOff>
              </to>
            </anchor>
          </controlPr>
        </control>
      </mc:Choice>
      <mc:Fallback>
        <control shapeId="2056" r:id="rId10" name="CheckBoxFilterIPs"/>
      </mc:Fallback>
    </mc:AlternateContent>
    <mc:AlternateContent xmlns:mc="http://schemas.openxmlformats.org/markup-compatibility/2006">
      <mc:Choice Requires="x14">
        <control shapeId="2058" r:id="rId12" name="Label1">
          <controlPr defaultSize="0" autoLine="0" r:id="rId13">
            <anchor moveWithCells="1">
              <from>
                <xdr:col>4</xdr:col>
                <xdr:colOff>38100</xdr:colOff>
                <xdr:row>9</xdr:row>
                <xdr:rowOff>66675</xdr:rowOff>
              </from>
              <to>
                <xdr:col>4</xdr:col>
                <xdr:colOff>3876675</xdr:colOff>
                <xdr:row>12</xdr:row>
                <xdr:rowOff>161925</xdr:rowOff>
              </to>
            </anchor>
          </controlPr>
        </control>
      </mc:Choice>
      <mc:Fallback>
        <control shapeId="2058" r:id="rId12" name="Label1"/>
      </mc:Fallback>
    </mc:AlternateContent>
    <mc:AlternateContent xmlns:mc="http://schemas.openxmlformats.org/markup-compatibility/2006">
      <mc:Choice Requires="x14">
        <control shapeId="2059" r:id="rId14" name="Label2">
          <controlPr defaultSize="0" autoLine="0" r:id="rId15">
            <anchor moveWithCells="1">
              <from>
                <xdr:col>4</xdr:col>
                <xdr:colOff>28575</xdr:colOff>
                <xdr:row>13</xdr:row>
                <xdr:rowOff>19050</xdr:rowOff>
              </from>
              <to>
                <xdr:col>4</xdr:col>
                <xdr:colOff>3819525</xdr:colOff>
                <xdr:row>14</xdr:row>
                <xdr:rowOff>161925</xdr:rowOff>
              </to>
            </anchor>
          </controlPr>
        </control>
      </mc:Choice>
      <mc:Fallback>
        <control shapeId="2059" r:id="rId14" name="Label2"/>
      </mc:Fallback>
    </mc:AlternateContent>
    <mc:AlternateContent xmlns:mc="http://schemas.openxmlformats.org/markup-compatibility/2006">
      <mc:Choice Requires="x14">
        <control shapeId="2060" r:id="rId16" name="Label3">
          <controlPr defaultSize="0" autoLine="0" r:id="rId17">
            <anchor moveWithCells="1">
              <from>
                <xdr:col>4</xdr:col>
                <xdr:colOff>47625</xdr:colOff>
                <xdr:row>16</xdr:row>
                <xdr:rowOff>114300</xdr:rowOff>
              </from>
              <to>
                <xdr:col>4</xdr:col>
                <xdr:colOff>3838575</xdr:colOff>
                <xdr:row>19</xdr:row>
                <xdr:rowOff>171450</xdr:rowOff>
              </to>
            </anchor>
          </controlPr>
        </control>
      </mc:Choice>
      <mc:Fallback>
        <control shapeId="2060" r:id="rId16" name="Label3"/>
      </mc:Fallback>
    </mc:AlternateContent>
    <mc:AlternateContent xmlns:mc="http://schemas.openxmlformats.org/markup-compatibility/2006">
      <mc:Choice Requires="x14">
        <control shapeId="2061" r:id="rId18" name="buttonClearAllData">
          <controlPr defaultSize="0" autoLine="0" r:id="rId19">
            <anchor moveWithCells="1">
              <from>
                <xdr:col>4</xdr:col>
                <xdr:colOff>1628775</xdr:colOff>
                <xdr:row>0</xdr:row>
                <xdr:rowOff>95250</xdr:rowOff>
              </from>
              <to>
                <xdr:col>4</xdr:col>
                <xdr:colOff>3810000</xdr:colOff>
                <xdr:row>1</xdr:row>
                <xdr:rowOff>266700</xdr:rowOff>
              </to>
            </anchor>
          </controlPr>
        </control>
      </mc:Choice>
      <mc:Fallback>
        <control shapeId="2061" r:id="rId18" name="buttonClearAll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73"/>
  <sheetViews>
    <sheetView topLeftCell="A580" zoomScaleNormal="100" workbookViewId="0">
      <selection activeCell="B37" sqref="B37"/>
    </sheetView>
  </sheetViews>
  <sheetFormatPr defaultRowHeight="15" x14ac:dyDescent="0.25"/>
  <cols>
    <col min="1" max="1" width="5.5703125" customWidth="1"/>
    <col min="2" max="2" width="36.7109375" customWidth="1"/>
    <col min="3" max="3" width="21.5703125" customWidth="1"/>
    <col min="4" max="4" width="31.85546875" customWidth="1"/>
    <col min="5" max="5" width="11.85546875" customWidth="1"/>
    <col min="6" max="6" width="14.85546875" customWidth="1"/>
    <col min="7" max="38" width="16.140625" bestFit="1" customWidth="1"/>
    <col min="39" max="39" width="11.28515625" bestFit="1" customWidth="1"/>
  </cols>
  <sheetData>
    <row r="1" spans="1:12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8.5" x14ac:dyDescent="0.45">
      <c r="A2" s="55"/>
      <c r="B2" s="57" t="s">
        <v>1</v>
      </c>
      <c r="C2" s="56"/>
      <c r="D2" s="55"/>
      <c r="E2" s="55"/>
      <c r="F2" s="55"/>
      <c r="G2" s="55"/>
      <c r="H2" s="55"/>
      <c r="I2" s="55"/>
      <c r="J2" s="55"/>
      <c r="K2" s="55"/>
      <c r="L2" s="55"/>
    </row>
    <row r="4" spans="1:12" ht="20.25" customHeight="1" x14ac:dyDescent="0.25">
      <c r="A4" s="2"/>
      <c r="B4" s="121" t="s">
        <v>48</v>
      </c>
      <c r="C4" s="112"/>
      <c r="D4" s="112"/>
      <c r="E4" s="112"/>
      <c r="F4" s="112"/>
      <c r="G4" s="112"/>
      <c r="H4" s="112"/>
      <c r="I4" s="113"/>
    </row>
    <row r="5" spans="1:12" x14ac:dyDescent="0.25">
      <c r="A5" s="2"/>
      <c r="B5" s="122" t="s">
        <v>2</v>
      </c>
      <c r="C5" s="123" t="s">
        <v>130</v>
      </c>
      <c r="D5" s="115"/>
      <c r="E5" s="115"/>
      <c r="F5" s="115"/>
      <c r="G5" s="115"/>
      <c r="H5" s="115"/>
      <c r="I5" s="116"/>
    </row>
    <row r="6" spans="1:12" ht="21" customHeight="1" x14ac:dyDescent="0.25">
      <c r="A6" s="2"/>
      <c r="B6" s="124" t="s">
        <v>3</v>
      </c>
      <c r="C6" s="115"/>
      <c r="D6" s="115"/>
      <c r="E6" s="133" t="s">
        <v>97</v>
      </c>
      <c r="F6" s="115"/>
      <c r="G6" s="115"/>
      <c r="H6" s="115"/>
      <c r="I6" s="116"/>
    </row>
    <row r="7" spans="1:12" x14ac:dyDescent="0.25">
      <c r="A7" s="2"/>
      <c r="B7" s="125" t="s">
        <v>95</v>
      </c>
      <c r="C7" s="126"/>
      <c r="D7" s="119"/>
      <c r="E7" s="119"/>
      <c r="F7" s="119"/>
      <c r="G7" s="119"/>
      <c r="H7" s="119"/>
      <c r="I7" s="120"/>
    </row>
    <row r="8" spans="1:12" x14ac:dyDescent="0.25">
      <c r="A8" s="2"/>
      <c r="B8" s="13"/>
    </row>
    <row r="9" spans="1:12" x14ac:dyDescent="0.25">
      <c r="A9" s="2"/>
      <c r="B9" s="110" t="s">
        <v>4</v>
      </c>
      <c r="C9" s="111">
        <v>1</v>
      </c>
      <c r="D9" s="137" t="s">
        <v>109</v>
      </c>
      <c r="E9" s="112"/>
      <c r="F9" s="112"/>
      <c r="G9" s="112"/>
      <c r="H9" s="112"/>
      <c r="I9" s="113"/>
    </row>
    <row r="10" spans="1:12" x14ac:dyDescent="0.25">
      <c r="A10" s="2"/>
      <c r="B10" s="114" t="s">
        <v>9</v>
      </c>
      <c r="C10" s="108">
        <v>1</v>
      </c>
      <c r="D10" s="133" t="s">
        <v>117</v>
      </c>
      <c r="E10" s="115"/>
      <c r="F10" s="115"/>
      <c r="G10" s="115"/>
      <c r="H10" s="115"/>
      <c r="I10" s="116"/>
    </row>
    <row r="11" spans="1:12" x14ac:dyDescent="0.25">
      <c r="A11" s="2"/>
      <c r="B11" s="114" t="s">
        <v>10</v>
      </c>
      <c r="C11" s="50">
        <v>41379.719236111108</v>
      </c>
      <c r="D11" s="133" t="s">
        <v>108</v>
      </c>
      <c r="E11" s="115"/>
      <c r="F11" s="115"/>
      <c r="G11" s="115"/>
      <c r="H11" s="115"/>
      <c r="I11" s="116"/>
    </row>
    <row r="12" spans="1:12" x14ac:dyDescent="0.25">
      <c r="A12" s="2"/>
      <c r="B12" s="114" t="s">
        <v>26</v>
      </c>
      <c r="C12" s="50">
        <v>41379.719236111108</v>
      </c>
      <c r="D12" s="133" t="s">
        <v>103</v>
      </c>
      <c r="E12" s="115"/>
      <c r="F12" s="115"/>
      <c r="G12" s="115"/>
      <c r="H12" s="115"/>
      <c r="I12" s="116"/>
    </row>
    <row r="13" spans="1:12" x14ac:dyDescent="0.25">
      <c r="A13" s="2"/>
      <c r="B13" s="114" t="s">
        <v>34</v>
      </c>
      <c r="C13" s="109">
        <v>1</v>
      </c>
      <c r="D13" s="133" t="s">
        <v>104</v>
      </c>
      <c r="E13" s="115"/>
      <c r="F13" s="115"/>
      <c r="G13" s="115"/>
      <c r="H13" s="115"/>
      <c r="I13" s="116"/>
    </row>
    <row r="14" spans="1:12" x14ac:dyDescent="0.25">
      <c r="A14" s="2"/>
      <c r="B14" s="114" t="s">
        <v>16</v>
      </c>
      <c r="C14" s="158">
        <f>C13 / C10</f>
        <v>1</v>
      </c>
      <c r="D14" s="133" t="s">
        <v>105</v>
      </c>
      <c r="E14" s="115"/>
      <c r="F14" s="115"/>
      <c r="G14" s="115"/>
      <c r="H14" s="115"/>
      <c r="I14" s="116"/>
    </row>
    <row r="15" spans="1:12" x14ac:dyDescent="0.25">
      <c r="A15" s="2"/>
      <c r="B15" s="114" t="s">
        <v>37</v>
      </c>
      <c r="C15" s="109">
        <v>0</v>
      </c>
      <c r="D15" s="133" t="s">
        <v>98</v>
      </c>
      <c r="E15" s="115"/>
      <c r="F15" s="115"/>
      <c r="G15" s="115"/>
      <c r="H15" s="115"/>
      <c r="I15" s="116"/>
    </row>
    <row r="16" spans="1:12" x14ac:dyDescent="0.25">
      <c r="A16" s="2"/>
      <c r="B16" s="114" t="s">
        <v>36</v>
      </c>
      <c r="C16" s="109">
        <v>1</v>
      </c>
      <c r="D16" s="133" t="s">
        <v>99</v>
      </c>
      <c r="E16" s="115"/>
      <c r="F16" s="115"/>
      <c r="G16" s="115"/>
      <c r="H16" s="115"/>
      <c r="I16" s="116"/>
    </row>
    <row r="17" spans="1:9" x14ac:dyDescent="0.25">
      <c r="A17" s="2"/>
      <c r="B17" s="114" t="s">
        <v>54</v>
      </c>
      <c r="C17" s="109">
        <f xml:space="preserve"> C9 / C10</f>
        <v>1</v>
      </c>
      <c r="D17" s="115"/>
      <c r="E17" s="115"/>
      <c r="F17" s="115"/>
      <c r="G17" s="115"/>
      <c r="H17" s="115"/>
      <c r="I17" s="116"/>
    </row>
    <row r="18" spans="1:9" x14ac:dyDescent="0.25">
      <c r="A18" s="2"/>
      <c r="B18" s="114" t="s">
        <v>53</v>
      </c>
      <c r="C18" s="108">
        <v>1</v>
      </c>
      <c r="D18" s="115"/>
      <c r="E18" s="115"/>
      <c r="F18" s="115"/>
      <c r="G18" s="115"/>
      <c r="H18" s="115"/>
      <c r="I18" s="116"/>
    </row>
    <row r="19" spans="1:9" x14ac:dyDescent="0.25">
      <c r="A19" s="2"/>
      <c r="B19" s="114" t="s">
        <v>124</v>
      </c>
      <c r="C19" s="108">
        <v>7</v>
      </c>
      <c r="D19" s="133" t="s">
        <v>125</v>
      </c>
      <c r="E19" s="115"/>
      <c r="F19" s="115"/>
      <c r="G19" s="115"/>
      <c r="H19" s="115"/>
      <c r="I19" s="116"/>
    </row>
    <row r="20" spans="1:9" x14ac:dyDescent="0.25">
      <c r="A20" s="2"/>
      <c r="B20" s="114"/>
      <c r="C20" s="50"/>
      <c r="D20" s="115"/>
      <c r="E20" s="115"/>
      <c r="F20" s="115"/>
      <c r="G20" s="115"/>
      <c r="H20" s="115"/>
      <c r="I20" s="116"/>
    </row>
    <row r="21" spans="1:9" x14ac:dyDescent="0.25">
      <c r="A21" s="2"/>
      <c r="B21" s="114"/>
      <c r="C21" s="109"/>
      <c r="D21" s="115"/>
      <c r="E21" s="115"/>
      <c r="F21" s="115"/>
      <c r="G21" s="115"/>
      <c r="H21" s="115"/>
      <c r="I21" s="116"/>
    </row>
    <row r="22" spans="1:9" x14ac:dyDescent="0.25">
      <c r="A22" s="2"/>
      <c r="B22" s="114"/>
      <c r="C22" s="109"/>
      <c r="D22" s="115"/>
      <c r="E22" s="115"/>
      <c r="F22" s="115"/>
      <c r="G22" s="115"/>
      <c r="H22" s="115"/>
      <c r="I22" s="116"/>
    </row>
    <row r="23" spans="1:9" x14ac:dyDescent="0.25">
      <c r="A23" s="2"/>
      <c r="B23" s="114"/>
      <c r="C23" s="109"/>
      <c r="D23" s="115"/>
      <c r="E23" s="115"/>
      <c r="F23" s="115"/>
      <c r="G23" s="115"/>
      <c r="H23" s="115"/>
      <c r="I23" s="116"/>
    </row>
    <row r="24" spans="1:9" x14ac:dyDescent="0.25">
      <c r="A24" s="2"/>
      <c r="B24" s="117"/>
      <c r="C24" s="118"/>
      <c r="D24" s="119"/>
      <c r="E24" s="119"/>
      <c r="F24" s="119"/>
      <c r="G24" s="119"/>
      <c r="H24" s="119"/>
      <c r="I24" s="120"/>
    </row>
    <row r="25" spans="1:9" x14ac:dyDescent="0.25">
      <c r="A25" s="2"/>
      <c r="B25" s="1"/>
    </row>
    <row r="26" spans="1:9" x14ac:dyDescent="0.25">
      <c r="A26" s="2"/>
      <c r="B26" s="127" t="s">
        <v>69</v>
      </c>
      <c r="C26" s="128" t="s">
        <v>70</v>
      </c>
      <c r="D26" s="128" t="s">
        <v>71</v>
      </c>
      <c r="E26" s="129" t="s">
        <v>17</v>
      </c>
      <c r="F26" s="128" t="s">
        <v>9</v>
      </c>
    </row>
    <row r="27" spans="1:9" x14ac:dyDescent="0.25">
      <c r="A27" s="2"/>
      <c r="B27" s="130" t="s">
        <v>132</v>
      </c>
      <c r="C27" s="73">
        <v>41379.718365127315</v>
      </c>
      <c r="D27" s="75" t="s">
        <v>133</v>
      </c>
      <c r="E27" s="131">
        <v>1</v>
      </c>
      <c r="F27" s="90">
        <v>1</v>
      </c>
    </row>
    <row r="28" spans="1:9" x14ac:dyDescent="0.25">
      <c r="A28" s="2"/>
      <c r="B28" s="130"/>
      <c r="C28" s="73"/>
      <c r="D28" s="75"/>
      <c r="E28" s="131"/>
      <c r="F28" s="90"/>
    </row>
    <row r="29" spans="1:9" x14ac:dyDescent="0.25">
      <c r="A29" s="2"/>
      <c r="B29" s="130"/>
      <c r="C29" s="73"/>
      <c r="D29" s="75"/>
      <c r="E29" s="131"/>
      <c r="F29" s="90"/>
    </row>
    <row r="30" spans="1:9" x14ac:dyDescent="0.25">
      <c r="A30" s="2"/>
      <c r="B30" s="130"/>
      <c r="C30" s="73"/>
      <c r="D30" s="75"/>
      <c r="E30" s="131"/>
      <c r="F30" s="90"/>
    </row>
    <row r="31" spans="1:9" x14ac:dyDescent="0.25">
      <c r="A31" s="2"/>
      <c r="B31" s="130"/>
      <c r="C31" s="73"/>
      <c r="D31" s="75"/>
      <c r="E31" s="131"/>
      <c r="F31" s="90"/>
    </row>
    <row r="32" spans="1:9" x14ac:dyDescent="0.25">
      <c r="A32" s="2"/>
      <c r="B32" s="130"/>
      <c r="C32" s="73"/>
      <c r="D32" s="75"/>
      <c r="E32" s="131"/>
      <c r="F32" s="90"/>
    </row>
    <row r="33" spans="1:6" x14ac:dyDescent="0.25">
      <c r="A33" s="2"/>
      <c r="B33" s="130"/>
      <c r="C33" s="73"/>
      <c r="D33" s="75"/>
      <c r="E33" s="131"/>
      <c r="F33" s="90"/>
    </row>
    <row r="34" spans="1:6" x14ac:dyDescent="0.25">
      <c r="A34" s="2"/>
      <c r="B34" s="130"/>
      <c r="C34" s="73"/>
      <c r="D34" s="75"/>
      <c r="E34" s="131"/>
      <c r="F34" s="90"/>
    </row>
    <row r="35" spans="1:6" x14ac:dyDescent="0.25">
      <c r="A35" s="2"/>
      <c r="B35" s="130"/>
      <c r="C35" s="73"/>
      <c r="D35" s="75"/>
      <c r="E35" s="131"/>
      <c r="F35" s="90"/>
    </row>
    <row r="36" spans="1:6" x14ac:dyDescent="0.25">
      <c r="A36" s="2"/>
      <c r="B36" s="130"/>
      <c r="C36" s="73"/>
      <c r="D36" s="75"/>
      <c r="E36" s="131"/>
      <c r="F36" s="90"/>
    </row>
    <row r="37" spans="1:6" x14ac:dyDescent="0.25">
      <c r="A37" s="2"/>
      <c r="B37" s="130"/>
      <c r="C37" s="73"/>
      <c r="D37" s="75"/>
      <c r="E37" s="131"/>
      <c r="F37" s="90"/>
    </row>
    <row r="38" spans="1:6" x14ac:dyDescent="0.25">
      <c r="A38" s="2"/>
      <c r="B38" s="130"/>
      <c r="C38" s="73"/>
      <c r="D38" s="75"/>
      <c r="E38" s="131"/>
      <c r="F38" s="90"/>
    </row>
    <row r="39" spans="1:6" x14ac:dyDescent="0.25">
      <c r="A39" s="2"/>
      <c r="B39" s="130"/>
      <c r="C39" s="73"/>
      <c r="D39" s="75"/>
      <c r="E39" s="131"/>
      <c r="F39" s="90"/>
    </row>
    <row r="40" spans="1:6" x14ac:dyDescent="0.25">
      <c r="A40" s="2"/>
      <c r="B40" s="130"/>
      <c r="C40" s="73"/>
      <c r="D40" s="75"/>
      <c r="E40" s="131"/>
      <c r="F40" s="90"/>
    </row>
    <row r="41" spans="1:6" x14ac:dyDescent="0.25">
      <c r="A41" s="2"/>
      <c r="B41" s="130"/>
      <c r="C41" s="73"/>
      <c r="D41" s="75"/>
      <c r="E41" s="131"/>
      <c r="F41" s="90"/>
    </row>
    <row r="42" spans="1:6" x14ac:dyDescent="0.25">
      <c r="A42" s="2"/>
      <c r="B42" s="130"/>
      <c r="C42" s="73"/>
      <c r="D42" s="75"/>
      <c r="E42" s="131"/>
      <c r="F42" s="90"/>
    </row>
    <row r="43" spans="1:6" x14ac:dyDescent="0.25">
      <c r="A43" s="2"/>
      <c r="B43" s="130"/>
      <c r="C43" s="73"/>
      <c r="D43" s="75"/>
      <c r="E43" s="131"/>
      <c r="F43" s="90"/>
    </row>
    <row r="44" spans="1:6" x14ac:dyDescent="0.25">
      <c r="A44" s="2"/>
      <c r="B44" s="130"/>
      <c r="C44" s="73"/>
      <c r="D44" s="75"/>
      <c r="E44" s="131"/>
      <c r="F44" s="90"/>
    </row>
    <row r="45" spans="1:6" x14ac:dyDescent="0.25">
      <c r="A45" s="2"/>
      <c r="B45" s="130"/>
      <c r="C45" s="73"/>
      <c r="D45" s="75"/>
      <c r="E45" s="131"/>
      <c r="F45" s="90"/>
    </row>
    <row r="46" spans="1:6" x14ac:dyDescent="0.25">
      <c r="A46" s="2"/>
      <c r="B46" s="130"/>
      <c r="C46" s="73"/>
      <c r="D46" s="75"/>
      <c r="E46" s="131"/>
      <c r="F46" s="90"/>
    </row>
    <row r="47" spans="1:6" x14ac:dyDescent="0.25">
      <c r="A47" s="2"/>
      <c r="B47" s="130"/>
      <c r="C47" s="73"/>
      <c r="D47" s="75"/>
      <c r="E47" s="131"/>
      <c r="F47" s="90"/>
    </row>
    <row r="48" spans="1:6" x14ac:dyDescent="0.25">
      <c r="A48" s="2"/>
      <c r="B48" s="130"/>
      <c r="C48" s="73"/>
      <c r="D48" s="75"/>
      <c r="E48" s="131"/>
      <c r="F48" s="90"/>
    </row>
    <row r="49" spans="1:6" x14ac:dyDescent="0.25">
      <c r="A49" s="2"/>
      <c r="B49" s="130"/>
      <c r="C49" s="73"/>
      <c r="D49" s="75"/>
      <c r="E49" s="131"/>
      <c r="F49" s="90"/>
    </row>
    <row r="50" spans="1:6" x14ac:dyDescent="0.25">
      <c r="A50" s="2"/>
      <c r="B50" s="130"/>
      <c r="C50" s="73"/>
      <c r="D50" s="75"/>
      <c r="E50" s="131"/>
      <c r="F50" s="90"/>
    </row>
    <row r="51" spans="1:6" x14ac:dyDescent="0.25">
      <c r="A51" s="2"/>
      <c r="B51" s="130"/>
      <c r="C51" s="73"/>
      <c r="D51" s="75"/>
      <c r="E51" s="131"/>
      <c r="F51" s="90"/>
    </row>
    <row r="52" spans="1:6" x14ac:dyDescent="0.25">
      <c r="A52" s="2"/>
      <c r="B52" s="130"/>
      <c r="C52" s="73"/>
      <c r="D52" s="75"/>
      <c r="E52" s="131"/>
      <c r="F52" s="90"/>
    </row>
    <row r="53" spans="1:6" x14ac:dyDescent="0.25">
      <c r="A53" s="2"/>
      <c r="B53" s="130"/>
      <c r="C53" s="73"/>
      <c r="D53" s="75"/>
      <c r="E53" s="131"/>
      <c r="F53" s="90"/>
    </row>
    <row r="54" spans="1:6" x14ac:dyDescent="0.25">
      <c r="A54" s="2"/>
      <c r="B54" s="130"/>
      <c r="C54" s="73"/>
      <c r="D54" s="75"/>
      <c r="E54" s="131"/>
      <c r="F54" s="90"/>
    </row>
    <row r="55" spans="1:6" x14ac:dyDescent="0.25">
      <c r="A55" s="2"/>
      <c r="B55" s="130"/>
      <c r="C55" s="73"/>
      <c r="D55" s="75"/>
      <c r="E55" s="131"/>
      <c r="F55" s="90"/>
    </row>
    <row r="56" spans="1:6" x14ac:dyDescent="0.25">
      <c r="A56" s="2"/>
      <c r="B56" s="130"/>
      <c r="C56" s="73"/>
      <c r="D56" s="75"/>
      <c r="E56" s="131"/>
      <c r="F56" s="90"/>
    </row>
    <row r="57" spans="1:6" x14ac:dyDescent="0.25">
      <c r="A57" s="2"/>
      <c r="B57" s="130"/>
      <c r="C57" s="73"/>
      <c r="D57" s="75"/>
      <c r="E57" s="131"/>
      <c r="F57" s="90"/>
    </row>
    <row r="58" spans="1:6" x14ac:dyDescent="0.25">
      <c r="A58" s="2"/>
      <c r="B58" s="130"/>
      <c r="C58" s="73"/>
      <c r="D58" s="75"/>
      <c r="E58" s="131"/>
      <c r="F58" s="90"/>
    </row>
    <row r="59" spans="1:6" x14ac:dyDescent="0.25">
      <c r="A59" s="2"/>
      <c r="B59" s="130"/>
      <c r="C59" s="73"/>
      <c r="D59" s="75"/>
      <c r="E59" s="131"/>
      <c r="F59" s="90"/>
    </row>
    <row r="60" spans="1:6" x14ac:dyDescent="0.25">
      <c r="B60" s="130"/>
      <c r="C60" s="73"/>
      <c r="D60" s="75"/>
      <c r="E60" s="131"/>
      <c r="F60" s="90"/>
    </row>
    <row r="61" spans="1:6" x14ac:dyDescent="0.25">
      <c r="B61" s="130"/>
      <c r="C61" s="73"/>
      <c r="D61" s="75"/>
      <c r="E61" s="131"/>
      <c r="F61" s="90"/>
    </row>
    <row r="62" spans="1:6" x14ac:dyDescent="0.25">
      <c r="B62" s="130"/>
      <c r="C62" s="73"/>
      <c r="D62" s="75"/>
      <c r="E62" s="131"/>
      <c r="F62" s="90"/>
    </row>
    <row r="63" spans="1:6" x14ac:dyDescent="0.25">
      <c r="B63" s="130"/>
      <c r="C63" s="73"/>
      <c r="D63" s="75"/>
      <c r="E63" s="131"/>
      <c r="F63" s="90"/>
    </row>
    <row r="64" spans="1:6" x14ac:dyDescent="0.25">
      <c r="B64" s="130"/>
      <c r="C64" s="73"/>
      <c r="D64" s="75"/>
      <c r="E64" s="131"/>
      <c r="F64" s="90"/>
    </row>
    <row r="65" spans="2:6" x14ac:dyDescent="0.25">
      <c r="B65" s="130"/>
      <c r="C65" s="73"/>
      <c r="D65" s="75"/>
      <c r="E65" s="131"/>
      <c r="F65" s="90"/>
    </row>
    <row r="66" spans="2:6" x14ac:dyDescent="0.25">
      <c r="B66" s="130"/>
      <c r="C66" s="73"/>
      <c r="D66" s="75"/>
      <c r="E66" s="131"/>
      <c r="F66" s="90"/>
    </row>
    <row r="67" spans="2:6" x14ac:dyDescent="0.25">
      <c r="B67" s="130"/>
      <c r="C67" s="73"/>
      <c r="D67" s="75"/>
      <c r="E67" s="131"/>
      <c r="F67" s="90"/>
    </row>
    <row r="68" spans="2:6" x14ac:dyDescent="0.25">
      <c r="B68" s="130"/>
      <c r="C68" s="73"/>
      <c r="D68" s="75"/>
      <c r="E68" s="131"/>
      <c r="F68" s="90"/>
    </row>
    <row r="69" spans="2:6" x14ac:dyDescent="0.25">
      <c r="B69" s="130"/>
      <c r="C69" s="73"/>
      <c r="D69" s="75"/>
      <c r="E69" s="131"/>
      <c r="F69" s="90"/>
    </row>
    <row r="70" spans="2:6" x14ac:dyDescent="0.25">
      <c r="B70" s="130"/>
      <c r="C70" s="73"/>
      <c r="D70" s="75"/>
      <c r="E70" s="131"/>
      <c r="F70" s="90"/>
    </row>
    <row r="71" spans="2:6" x14ac:dyDescent="0.25">
      <c r="B71" s="130"/>
      <c r="C71" s="73"/>
      <c r="D71" s="75"/>
      <c r="E71" s="131"/>
      <c r="F71" s="90"/>
    </row>
    <row r="72" spans="2:6" x14ac:dyDescent="0.25">
      <c r="B72" s="130"/>
      <c r="C72" s="73"/>
      <c r="D72" s="75"/>
      <c r="E72" s="131"/>
      <c r="F72" s="90"/>
    </row>
    <row r="73" spans="2:6" x14ac:dyDescent="0.25">
      <c r="B73" s="130"/>
      <c r="C73" s="73"/>
      <c r="D73" s="75"/>
      <c r="E73" s="131"/>
      <c r="F73" s="90"/>
    </row>
    <row r="74" spans="2:6" x14ac:dyDescent="0.25">
      <c r="B74" s="130"/>
      <c r="C74" s="73"/>
      <c r="D74" s="75"/>
      <c r="E74" s="131"/>
      <c r="F74" s="90"/>
    </row>
    <row r="75" spans="2:6" x14ac:dyDescent="0.25">
      <c r="B75" s="130"/>
      <c r="C75" s="73"/>
      <c r="D75" s="75"/>
      <c r="E75" s="131"/>
      <c r="F75" s="90"/>
    </row>
    <row r="76" spans="2:6" x14ac:dyDescent="0.25">
      <c r="B76" s="130"/>
      <c r="C76" s="73"/>
      <c r="D76" s="75"/>
      <c r="E76" s="131"/>
      <c r="F76" s="90"/>
    </row>
    <row r="77" spans="2:6" x14ac:dyDescent="0.25">
      <c r="B77" s="130"/>
      <c r="C77" s="73"/>
      <c r="D77" s="75"/>
      <c r="E77" s="131"/>
      <c r="F77" s="90"/>
    </row>
    <row r="78" spans="2:6" x14ac:dyDescent="0.25">
      <c r="B78" s="130"/>
      <c r="C78" s="73"/>
      <c r="D78" s="75"/>
      <c r="E78" s="131"/>
      <c r="F78" s="90"/>
    </row>
    <row r="79" spans="2:6" x14ac:dyDescent="0.25">
      <c r="B79" s="130"/>
      <c r="C79" s="73"/>
      <c r="D79" s="75"/>
      <c r="E79" s="131"/>
      <c r="F79" s="90"/>
    </row>
    <row r="80" spans="2:6" x14ac:dyDescent="0.25">
      <c r="B80" s="130"/>
      <c r="C80" s="73"/>
      <c r="D80" s="75"/>
      <c r="E80" s="131"/>
      <c r="F80" s="90"/>
    </row>
    <row r="81" spans="2:6" x14ac:dyDescent="0.25">
      <c r="B81" s="130"/>
      <c r="C81" s="73"/>
      <c r="D81" s="75"/>
      <c r="E81" s="131"/>
      <c r="F81" s="90"/>
    </row>
    <row r="82" spans="2:6" x14ac:dyDescent="0.25">
      <c r="B82" s="130"/>
      <c r="C82" s="73"/>
      <c r="D82" s="75"/>
      <c r="E82" s="131"/>
      <c r="F82" s="90"/>
    </row>
    <row r="83" spans="2:6" x14ac:dyDescent="0.25">
      <c r="B83" s="130"/>
      <c r="C83" s="73"/>
      <c r="D83" s="75"/>
      <c r="E83" s="131"/>
      <c r="F83" s="90"/>
    </row>
    <row r="84" spans="2:6" x14ac:dyDescent="0.25">
      <c r="B84" s="130"/>
      <c r="C84" s="73"/>
      <c r="D84" s="75"/>
      <c r="E84" s="131"/>
      <c r="F84" s="90"/>
    </row>
    <row r="85" spans="2:6" x14ac:dyDescent="0.25">
      <c r="B85" s="130"/>
      <c r="C85" s="73"/>
      <c r="D85" s="75"/>
      <c r="E85" s="131"/>
      <c r="F85" s="90"/>
    </row>
    <row r="86" spans="2:6" x14ac:dyDescent="0.25">
      <c r="B86" s="130"/>
      <c r="C86" s="73"/>
      <c r="D86" s="75"/>
      <c r="E86" s="131"/>
      <c r="F86" s="90"/>
    </row>
    <row r="87" spans="2:6" x14ac:dyDescent="0.25">
      <c r="B87" s="130"/>
      <c r="C87" s="73"/>
      <c r="D87" s="75"/>
      <c r="E87" s="131"/>
      <c r="F87" s="90"/>
    </row>
    <row r="88" spans="2:6" x14ac:dyDescent="0.25">
      <c r="B88" s="130"/>
      <c r="C88" s="73"/>
      <c r="D88" s="75"/>
      <c r="E88" s="131"/>
      <c r="F88" s="90"/>
    </row>
    <row r="89" spans="2:6" x14ac:dyDescent="0.25">
      <c r="B89" s="130"/>
      <c r="C89" s="73"/>
      <c r="D89" s="75"/>
      <c r="E89" s="131"/>
      <c r="F89" s="90"/>
    </row>
    <row r="90" spans="2:6" x14ac:dyDescent="0.25">
      <c r="B90" s="130"/>
      <c r="C90" s="73"/>
      <c r="D90" s="75"/>
      <c r="E90" s="131"/>
      <c r="F90" s="90"/>
    </row>
    <row r="91" spans="2:6" x14ac:dyDescent="0.25">
      <c r="B91" s="130"/>
      <c r="C91" s="73"/>
      <c r="D91" s="75"/>
      <c r="E91" s="131"/>
      <c r="F91" s="90"/>
    </row>
    <row r="92" spans="2:6" x14ac:dyDescent="0.25">
      <c r="B92" s="130"/>
      <c r="C92" s="73"/>
      <c r="D92" s="75"/>
      <c r="E92" s="131"/>
      <c r="F92" s="90"/>
    </row>
    <row r="93" spans="2:6" x14ac:dyDescent="0.25">
      <c r="B93" s="130"/>
      <c r="C93" s="73"/>
      <c r="D93" s="75"/>
      <c r="E93" s="131"/>
      <c r="F93" s="90"/>
    </row>
    <row r="94" spans="2:6" x14ac:dyDescent="0.25">
      <c r="B94" s="130"/>
      <c r="C94" s="73"/>
      <c r="D94" s="75"/>
      <c r="E94" s="131"/>
      <c r="F94" s="90"/>
    </row>
    <row r="95" spans="2:6" x14ac:dyDescent="0.25">
      <c r="B95" s="130"/>
      <c r="C95" s="73"/>
      <c r="D95" s="75"/>
      <c r="E95" s="131"/>
      <c r="F95" s="90"/>
    </row>
    <row r="96" spans="2:6" x14ac:dyDescent="0.25">
      <c r="B96" s="130"/>
      <c r="C96" s="73"/>
      <c r="D96" s="75"/>
      <c r="E96" s="131"/>
      <c r="F96" s="90"/>
    </row>
    <row r="97" spans="2:6" x14ac:dyDescent="0.25">
      <c r="B97" s="130"/>
      <c r="C97" s="73"/>
      <c r="D97" s="75"/>
      <c r="E97" s="131"/>
      <c r="F97" s="90"/>
    </row>
    <row r="98" spans="2:6" x14ac:dyDescent="0.25">
      <c r="B98" s="130"/>
      <c r="C98" s="73"/>
      <c r="D98" s="75"/>
      <c r="E98" s="131"/>
      <c r="F98" s="90"/>
    </row>
    <row r="99" spans="2:6" x14ac:dyDescent="0.25">
      <c r="B99" s="130"/>
      <c r="C99" s="73"/>
      <c r="D99" s="75"/>
      <c r="E99" s="131"/>
      <c r="F99" s="90"/>
    </row>
    <row r="100" spans="2:6" x14ac:dyDescent="0.25">
      <c r="B100" s="130"/>
      <c r="C100" s="73"/>
      <c r="D100" s="75"/>
      <c r="E100" s="131"/>
      <c r="F100" s="90"/>
    </row>
    <row r="101" spans="2:6" x14ac:dyDescent="0.25">
      <c r="B101" s="130"/>
      <c r="C101" s="73"/>
      <c r="D101" s="75"/>
      <c r="E101" s="131"/>
      <c r="F101" s="90"/>
    </row>
    <row r="102" spans="2:6" x14ac:dyDescent="0.25">
      <c r="B102" s="130"/>
      <c r="C102" s="73"/>
      <c r="D102" s="75"/>
      <c r="E102" s="131"/>
      <c r="F102" s="90"/>
    </row>
    <row r="103" spans="2:6" x14ac:dyDescent="0.25">
      <c r="B103" s="130"/>
      <c r="C103" s="73"/>
      <c r="D103" s="75"/>
      <c r="E103" s="131"/>
      <c r="F103" s="90"/>
    </row>
    <row r="104" spans="2:6" x14ac:dyDescent="0.25">
      <c r="B104" s="130"/>
      <c r="C104" s="73"/>
      <c r="D104" s="75"/>
      <c r="E104" s="131"/>
      <c r="F104" s="90"/>
    </row>
    <row r="105" spans="2:6" x14ac:dyDescent="0.25">
      <c r="B105" s="130"/>
      <c r="C105" s="73"/>
      <c r="D105" s="75"/>
      <c r="E105" s="131"/>
      <c r="F105" s="90"/>
    </row>
    <row r="106" spans="2:6" x14ac:dyDescent="0.25">
      <c r="B106" s="130"/>
      <c r="C106" s="73"/>
      <c r="D106" s="75"/>
      <c r="E106" s="131"/>
      <c r="F106" s="90"/>
    </row>
    <row r="107" spans="2:6" x14ac:dyDescent="0.25">
      <c r="B107" s="130"/>
      <c r="C107" s="73"/>
      <c r="D107" s="75"/>
      <c r="E107" s="131"/>
      <c r="F107" s="90"/>
    </row>
    <row r="108" spans="2:6" x14ac:dyDescent="0.25">
      <c r="B108" s="130"/>
      <c r="C108" s="73"/>
      <c r="D108" s="75"/>
      <c r="E108" s="131"/>
      <c r="F108" s="90"/>
    </row>
    <row r="109" spans="2:6" x14ac:dyDescent="0.25">
      <c r="B109" s="130"/>
      <c r="C109" s="73"/>
      <c r="D109" s="75"/>
      <c r="E109" s="131"/>
      <c r="F109" s="90"/>
    </row>
    <row r="110" spans="2:6" x14ac:dyDescent="0.25">
      <c r="B110" s="130"/>
      <c r="C110" s="73"/>
      <c r="D110" s="75"/>
      <c r="E110" s="131"/>
      <c r="F110" s="90"/>
    </row>
    <row r="111" spans="2:6" x14ac:dyDescent="0.25">
      <c r="B111" s="130"/>
      <c r="C111" s="73"/>
      <c r="D111" s="75"/>
      <c r="E111" s="131"/>
      <c r="F111" s="90"/>
    </row>
    <row r="112" spans="2:6" x14ac:dyDescent="0.25">
      <c r="B112" s="130"/>
      <c r="C112" s="73"/>
      <c r="D112" s="75"/>
      <c r="E112" s="131"/>
      <c r="F112" s="90"/>
    </row>
    <row r="113" spans="2:6" x14ac:dyDescent="0.25">
      <c r="B113" s="130"/>
      <c r="C113" s="73"/>
      <c r="D113" s="75"/>
      <c r="E113" s="131"/>
      <c r="F113" s="90"/>
    </row>
    <row r="114" spans="2:6" x14ac:dyDescent="0.25">
      <c r="B114" s="130"/>
      <c r="C114" s="73"/>
      <c r="D114" s="75"/>
      <c r="E114" s="131"/>
      <c r="F114" s="90"/>
    </row>
    <row r="115" spans="2:6" x14ac:dyDescent="0.25">
      <c r="B115" s="130"/>
      <c r="C115" s="73"/>
      <c r="D115" s="75"/>
      <c r="E115" s="131"/>
      <c r="F115" s="90"/>
    </row>
    <row r="116" spans="2:6" x14ac:dyDescent="0.25">
      <c r="B116" s="130"/>
      <c r="C116" s="73"/>
      <c r="D116" s="75"/>
      <c r="E116" s="131"/>
      <c r="F116" s="90"/>
    </row>
    <row r="117" spans="2:6" x14ac:dyDescent="0.25">
      <c r="B117" s="130"/>
      <c r="C117" s="73"/>
      <c r="D117" s="75"/>
      <c r="E117" s="131"/>
      <c r="F117" s="90"/>
    </row>
    <row r="118" spans="2:6" x14ac:dyDescent="0.25">
      <c r="B118" s="130"/>
      <c r="C118" s="73"/>
      <c r="D118" s="75"/>
      <c r="E118" s="131"/>
      <c r="F118" s="90"/>
    </row>
    <row r="119" spans="2:6" x14ac:dyDescent="0.25">
      <c r="B119" s="130"/>
      <c r="C119" s="73"/>
      <c r="D119" s="75"/>
      <c r="E119" s="131"/>
      <c r="F119" s="90"/>
    </row>
    <row r="120" spans="2:6" x14ac:dyDescent="0.25">
      <c r="B120" s="130"/>
      <c r="C120" s="73"/>
      <c r="D120" s="75"/>
      <c r="E120" s="131"/>
      <c r="F120" s="90"/>
    </row>
    <row r="121" spans="2:6" x14ac:dyDescent="0.25">
      <c r="B121" s="130"/>
      <c r="C121" s="73"/>
      <c r="D121" s="75"/>
      <c r="E121" s="131"/>
      <c r="F121" s="90"/>
    </row>
    <row r="122" spans="2:6" x14ac:dyDescent="0.25">
      <c r="B122" s="130"/>
      <c r="C122" s="73"/>
      <c r="D122" s="75"/>
      <c r="E122" s="131"/>
      <c r="F122" s="90"/>
    </row>
    <row r="123" spans="2:6" x14ac:dyDescent="0.25">
      <c r="B123" s="130"/>
      <c r="C123" s="73"/>
      <c r="D123" s="75"/>
      <c r="E123" s="131"/>
      <c r="F123" s="90"/>
    </row>
    <row r="124" spans="2:6" x14ac:dyDescent="0.25">
      <c r="B124" s="130"/>
      <c r="C124" s="73"/>
      <c r="D124" s="75"/>
      <c r="E124" s="131"/>
      <c r="F124" s="90"/>
    </row>
    <row r="125" spans="2:6" x14ac:dyDescent="0.25">
      <c r="B125" s="130"/>
      <c r="C125" s="73"/>
      <c r="D125" s="75"/>
      <c r="E125" s="131"/>
      <c r="F125" s="90"/>
    </row>
    <row r="126" spans="2:6" x14ac:dyDescent="0.25">
      <c r="B126" s="130"/>
      <c r="C126" s="73"/>
      <c r="D126" s="75"/>
      <c r="E126" s="131"/>
      <c r="F126" s="90"/>
    </row>
    <row r="127" spans="2:6" x14ac:dyDescent="0.25">
      <c r="B127" s="130"/>
      <c r="C127" s="73"/>
      <c r="D127" s="75"/>
      <c r="E127" s="131"/>
      <c r="F127" s="90"/>
    </row>
    <row r="128" spans="2:6" x14ac:dyDescent="0.25">
      <c r="B128" s="130"/>
      <c r="C128" s="73"/>
      <c r="D128" s="75"/>
      <c r="E128" s="131"/>
      <c r="F128" s="90"/>
    </row>
    <row r="129" spans="2:6" x14ac:dyDescent="0.25">
      <c r="B129" s="130"/>
      <c r="C129" s="73"/>
      <c r="D129" s="75"/>
      <c r="E129" s="131"/>
      <c r="F129" s="90"/>
    </row>
    <row r="130" spans="2:6" x14ac:dyDescent="0.25">
      <c r="B130" s="130"/>
      <c r="C130" s="73"/>
      <c r="D130" s="75"/>
      <c r="E130" s="131"/>
      <c r="F130" s="90"/>
    </row>
    <row r="131" spans="2:6" x14ac:dyDescent="0.25">
      <c r="B131" s="130"/>
      <c r="C131" s="73"/>
      <c r="D131" s="75"/>
      <c r="E131" s="131"/>
      <c r="F131" s="90"/>
    </row>
    <row r="132" spans="2:6" x14ac:dyDescent="0.25">
      <c r="B132" s="130"/>
      <c r="C132" s="73"/>
      <c r="D132" s="75"/>
      <c r="E132" s="131"/>
      <c r="F132" s="90"/>
    </row>
    <row r="133" spans="2:6" x14ac:dyDescent="0.25">
      <c r="B133" s="130"/>
      <c r="C133" s="73"/>
      <c r="D133" s="75"/>
      <c r="E133" s="131"/>
      <c r="F133" s="90"/>
    </row>
    <row r="134" spans="2:6" x14ac:dyDescent="0.25">
      <c r="B134" s="130"/>
      <c r="C134" s="73"/>
      <c r="D134" s="75"/>
      <c r="E134" s="131"/>
      <c r="F134" s="90"/>
    </row>
    <row r="135" spans="2:6" x14ac:dyDescent="0.25">
      <c r="B135" s="130"/>
      <c r="C135" s="73"/>
      <c r="D135" s="75"/>
      <c r="E135" s="131"/>
      <c r="F135" s="90"/>
    </row>
    <row r="136" spans="2:6" x14ac:dyDescent="0.25">
      <c r="B136" s="130"/>
      <c r="C136" s="73"/>
      <c r="D136" s="75"/>
      <c r="E136" s="131"/>
      <c r="F136" s="90"/>
    </row>
    <row r="137" spans="2:6" x14ac:dyDescent="0.25">
      <c r="B137" s="130"/>
      <c r="C137" s="73"/>
      <c r="D137" s="75"/>
      <c r="E137" s="131"/>
      <c r="F137" s="90"/>
    </row>
    <row r="138" spans="2:6" x14ac:dyDescent="0.25">
      <c r="B138" s="130"/>
      <c r="C138" s="73"/>
      <c r="D138" s="75"/>
      <c r="E138" s="131"/>
      <c r="F138" s="90"/>
    </row>
    <row r="139" spans="2:6" x14ac:dyDescent="0.25">
      <c r="B139" s="130"/>
      <c r="C139" s="73"/>
      <c r="D139" s="75"/>
      <c r="E139" s="131"/>
      <c r="F139" s="90"/>
    </row>
    <row r="140" spans="2:6" x14ac:dyDescent="0.25">
      <c r="B140" s="130"/>
      <c r="C140" s="73"/>
      <c r="D140" s="75"/>
      <c r="E140" s="131"/>
      <c r="F140" s="90"/>
    </row>
    <row r="141" spans="2:6" x14ac:dyDescent="0.25">
      <c r="B141" s="130"/>
      <c r="C141" s="73"/>
      <c r="D141" s="75"/>
      <c r="E141" s="131"/>
      <c r="F141" s="90"/>
    </row>
    <row r="142" spans="2:6" x14ac:dyDescent="0.25">
      <c r="B142" s="130"/>
      <c r="C142" s="73"/>
      <c r="D142" s="75"/>
      <c r="E142" s="131"/>
      <c r="F142" s="90"/>
    </row>
    <row r="143" spans="2:6" x14ac:dyDescent="0.25">
      <c r="B143" s="130"/>
      <c r="C143" s="73"/>
      <c r="D143" s="75"/>
      <c r="E143" s="131"/>
      <c r="F143" s="90"/>
    </row>
    <row r="144" spans="2:6" x14ac:dyDescent="0.25">
      <c r="B144" s="130"/>
      <c r="C144" s="73"/>
      <c r="D144" s="75"/>
      <c r="E144" s="131"/>
      <c r="F144" s="90"/>
    </row>
    <row r="145" spans="2:6" x14ac:dyDescent="0.25">
      <c r="B145" s="130"/>
      <c r="C145" s="73"/>
      <c r="D145" s="75"/>
      <c r="E145" s="131"/>
      <c r="F145" s="90"/>
    </row>
    <row r="146" spans="2:6" x14ac:dyDescent="0.25">
      <c r="B146" s="130"/>
      <c r="C146" s="73"/>
      <c r="D146" s="75"/>
      <c r="E146" s="131"/>
      <c r="F146" s="90"/>
    </row>
    <row r="147" spans="2:6" x14ac:dyDescent="0.25">
      <c r="B147" s="130"/>
      <c r="C147" s="73"/>
      <c r="D147" s="75"/>
      <c r="E147" s="131"/>
      <c r="F147" s="90"/>
    </row>
    <row r="148" spans="2:6" x14ac:dyDescent="0.25">
      <c r="B148" s="130"/>
      <c r="C148" s="73"/>
      <c r="D148" s="75"/>
      <c r="E148" s="131"/>
      <c r="F148" s="90"/>
    </row>
    <row r="149" spans="2:6" x14ac:dyDescent="0.25">
      <c r="B149" s="130"/>
      <c r="C149" s="73"/>
      <c r="D149" s="75"/>
      <c r="E149" s="131"/>
      <c r="F149" s="90"/>
    </row>
    <row r="150" spans="2:6" x14ac:dyDescent="0.25">
      <c r="B150" s="130"/>
      <c r="C150" s="73"/>
      <c r="D150" s="75"/>
      <c r="E150" s="131"/>
      <c r="F150" s="90"/>
    </row>
    <row r="151" spans="2:6" x14ac:dyDescent="0.25">
      <c r="B151" s="130"/>
      <c r="C151" s="73"/>
      <c r="D151" s="75"/>
      <c r="E151" s="131"/>
      <c r="F151" s="90"/>
    </row>
    <row r="152" spans="2:6" x14ac:dyDescent="0.25">
      <c r="B152" s="130"/>
      <c r="C152" s="73"/>
      <c r="D152" s="75"/>
      <c r="E152" s="131"/>
      <c r="F152" s="90"/>
    </row>
    <row r="153" spans="2:6" x14ac:dyDescent="0.25">
      <c r="B153" s="130"/>
      <c r="C153" s="73"/>
      <c r="D153" s="75"/>
      <c r="E153" s="131"/>
      <c r="F153" s="90"/>
    </row>
    <row r="154" spans="2:6" x14ac:dyDescent="0.25">
      <c r="B154" s="130"/>
      <c r="C154" s="73"/>
      <c r="D154" s="75"/>
      <c r="E154" s="131"/>
      <c r="F154" s="90"/>
    </row>
    <row r="155" spans="2:6" x14ac:dyDescent="0.25">
      <c r="B155" s="130"/>
      <c r="C155" s="73"/>
      <c r="D155" s="75"/>
      <c r="E155" s="131"/>
      <c r="F155" s="90"/>
    </row>
    <row r="156" spans="2:6" x14ac:dyDescent="0.25">
      <c r="B156" s="130"/>
      <c r="C156" s="73"/>
      <c r="D156" s="75"/>
      <c r="E156" s="131"/>
      <c r="F156" s="90"/>
    </row>
    <row r="157" spans="2:6" x14ac:dyDescent="0.25">
      <c r="B157" s="130"/>
      <c r="C157" s="73"/>
      <c r="D157" s="75"/>
      <c r="E157" s="131"/>
      <c r="F157" s="90"/>
    </row>
    <row r="158" spans="2:6" x14ac:dyDescent="0.25">
      <c r="B158" s="130"/>
      <c r="C158" s="73"/>
      <c r="D158" s="75"/>
      <c r="E158" s="131"/>
      <c r="F158" s="90"/>
    </row>
    <row r="159" spans="2:6" x14ac:dyDescent="0.25">
      <c r="B159" s="130"/>
      <c r="C159" s="73"/>
      <c r="D159" s="75"/>
      <c r="E159" s="131"/>
      <c r="F159" s="90"/>
    </row>
    <row r="160" spans="2:6" x14ac:dyDescent="0.25">
      <c r="B160" s="130"/>
      <c r="C160" s="73"/>
      <c r="D160" s="75"/>
      <c r="E160" s="131"/>
      <c r="F160" s="90"/>
    </row>
    <row r="161" spans="2:6" x14ac:dyDescent="0.25">
      <c r="B161" s="130"/>
      <c r="C161" s="73"/>
      <c r="D161" s="75"/>
      <c r="E161" s="131"/>
      <c r="F161" s="90"/>
    </row>
    <row r="162" spans="2:6" x14ac:dyDescent="0.25">
      <c r="B162" s="130"/>
      <c r="C162" s="73"/>
      <c r="D162" s="75"/>
      <c r="E162" s="131"/>
      <c r="F162" s="90"/>
    </row>
    <row r="163" spans="2:6" x14ac:dyDescent="0.25">
      <c r="B163" s="130"/>
      <c r="C163" s="73"/>
      <c r="D163" s="75"/>
      <c r="E163" s="131"/>
      <c r="F163" s="90"/>
    </row>
    <row r="164" spans="2:6" x14ac:dyDescent="0.25">
      <c r="B164" s="130"/>
      <c r="C164" s="73"/>
      <c r="D164" s="75"/>
      <c r="E164" s="131"/>
      <c r="F164" s="90"/>
    </row>
    <row r="165" spans="2:6" x14ac:dyDescent="0.25">
      <c r="B165" s="130"/>
      <c r="C165" s="73"/>
      <c r="D165" s="75"/>
      <c r="E165" s="131"/>
      <c r="F165" s="90"/>
    </row>
    <row r="166" spans="2:6" x14ac:dyDescent="0.25">
      <c r="B166" s="130"/>
      <c r="C166" s="73"/>
      <c r="D166" s="75"/>
      <c r="E166" s="131"/>
      <c r="F166" s="90"/>
    </row>
    <row r="167" spans="2:6" x14ac:dyDescent="0.25">
      <c r="B167" s="130"/>
      <c r="C167" s="73"/>
      <c r="D167" s="75"/>
      <c r="E167" s="131"/>
      <c r="F167" s="90"/>
    </row>
    <row r="168" spans="2:6" x14ac:dyDescent="0.25">
      <c r="B168" s="130"/>
      <c r="C168" s="73"/>
      <c r="D168" s="75"/>
      <c r="E168" s="131"/>
      <c r="F168" s="90"/>
    </row>
    <row r="169" spans="2:6" x14ac:dyDescent="0.25">
      <c r="B169" s="130"/>
      <c r="C169" s="73"/>
      <c r="D169" s="75"/>
      <c r="E169" s="131"/>
      <c r="F169" s="90"/>
    </row>
    <row r="170" spans="2:6" x14ac:dyDescent="0.25">
      <c r="B170" s="130"/>
      <c r="C170" s="73"/>
      <c r="D170" s="75"/>
      <c r="E170" s="131"/>
      <c r="F170" s="90"/>
    </row>
    <row r="171" spans="2:6" x14ac:dyDescent="0.25">
      <c r="B171" s="130"/>
      <c r="C171" s="73"/>
      <c r="D171" s="75"/>
      <c r="E171" s="131"/>
      <c r="F171" s="90"/>
    </row>
    <row r="172" spans="2:6" x14ac:dyDescent="0.25">
      <c r="B172" s="130"/>
      <c r="C172" s="73"/>
      <c r="D172" s="75"/>
      <c r="E172" s="131"/>
      <c r="F172" s="90"/>
    </row>
    <row r="173" spans="2:6" x14ac:dyDescent="0.25">
      <c r="B173" s="130"/>
      <c r="C173" s="73"/>
      <c r="D173" s="75"/>
      <c r="E173" s="131"/>
      <c r="F173" s="90"/>
    </row>
    <row r="174" spans="2:6" x14ac:dyDescent="0.25">
      <c r="B174" s="130"/>
      <c r="C174" s="73"/>
      <c r="D174" s="75"/>
      <c r="E174" s="131"/>
      <c r="F174" s="90"/>
    </row>
    <row r="175" spans="2:6" x14ac:dyDescent="0.25">
      <c r="B175" s="130"/>
      <c r="C175" s="73"/>
      <c r="D175" s="75"/>
      <c r="E175" s="131"/>
      <c r="F175" s="90"/>
    </row>
    <row r="176" spans="2:6" x14ac:dyDescent="0.25">
      <c r="B176" s="130"/>
      <c r="C176" s="73"/>
      <c r="D176" s="75"/>
      <c r="E176" s="131"/>
      <c r="F176" s="90"/>
    </row>
    <row r="177" spans="2:6" x14ac:dyDescent="0.25">
      <c r="B177" s="130"/>
      <c r="C177" s="73"/>
      <c r="D177" s="75"/>
      <c r="E177" s="131"/>
      <c r="F177" s="90"/>
    </row>
    <row r="178" spans="2:6" x14ac:dyDescent="0.25">
      <c r="B178" s="130"/>
      <c r="C178" s="73"/>
      <c r="D178" s="75"/>
      <c r="E178" s="131"/>
      <c r="F178" s="90"/>
    </row>
    <row r="179" spans="2:6" x14ac:dyDescent="0.25">
      <c r="B179" s="130"/>
      <c r="C179" s="73"/>
      <c r="D179" s="75"/>
      <c r="E179" s="131"/>
      <c r="F179" s="90"/>
    </row>
    <row r="180" spans="2:6" x14ac:dyDescent="0.25">
      <c r="B180" s="130"/>
      <c r="C180" s="73"/>
      <c r="D180" s="75"/>
      <c r="E180" s="131"/>
      <c r="F180" s="90"/>
    </row>
    <row r="181" spans="2:6" x14ac:dyDescent="0.25">
      <c r="B181" s="130"/>
      <c r="C181" s="73"/>
      <c r="D181" s="75"/>
      <c r="E181" s="131"/>
      <c r="F181" s="90"/>
    </row>
    <row r="182" spans="2:6" x14ac:dyDescent="0.25">
      <c r="B182" s="130"/>
      <c r="C182" s="73"/>
      <c r="D182" s="75"/>
      <c r="E182" s="131"/>
      <c r="F182" s="90"/>
    </row>
    <row r="183" spans="2:6" x14ac:dyDescent="0.25">
      <c r="B183" s="130"/>
      <c r="C183" s="73"/>
      <c r="D183" s="75"/>
      <c r="E183" s="131"/>
      <c r="F183" s="90"/>
    </row>
    <row r="184" spans="2:6" x14ac:dyDescent="0.25">
      <c r="B184" s="130"/>
      <c r="C184" s="73"/>
      <c r="D184" s="75"/>
      <c r="E184" s="131"/>
      <c r="F184" s="90"/>
    </row>
    <row r="185" spans="2:6" x14ac:dyDescent="0.25">
      <c r="B185" s="130"/>
      <c r="C185" s="73"/>
      <c r="D185" s="75"/>
      <c r="E185" s="131"/>
      <c r="F185" s="90"/>
    </row>
    <row r="186" spans="2:6" x14ac:dyDescent="0.25">
      <c r="B186" s="130"/>
      <c r="C186" s="73"/>
      <c r="D186" s="75"/>
      <c r="E186" s="131"/>
      <c r="F186" s="90"/>
    </row>
    <row r="187" spans="2:6" x14ac:dyDescent="0.25">
      <c r="B187" s="130"/>
      <c r="C187" s="73"/>
      <c r="D187" s="75"/>
      <c r="E187" s="131"/>
      <c r="F187" s="90"/>
    </row>
    <row r="188" spans="2:6" x14ac:dyDescent="0.25">
      <c r="B188" s="130"/>
      <c r="C188" s="73"/>
      <c r="D188" s="75"/>
      <c r="E188" s="131"/>
      <c r="F188" s="90"/>
    </row>
    <row r="189" spans="2:6" x14ac:dyDescent="0.25">
      <c r="B189" s="130"/>
      <c r="C189" s="73"/>
      <c r="D189" s="75"/>
      <c r="E189" s="131"/>
      <c r="F189" s="90"/>
    </row>
    <row r="190" spans="2:6" x14ac:dyDescent="0.25">
      <c r="B190" s="130"/>
      <c r="C190" s="73"/>
      <c r="D190" s="75"/>
      <c r="E190" s="131"/>
      <c r="F190" s="90"/>
    </row>
    <row r="191" spans="2:6" x14ac:dyDescent="0.25">
      <c r="B191" s="130"/>
      <c r="C191" s="73"/>
      <c r="D191" s="75"/>
      <c r="E191" s="131"/>
      <c r="F191" s="90"/>
    </row>
    <row r="192" spans="2:6" x14ac:dyDescent="0.25">
      <c r="B192" s="130"/>
      <c r="C192" s="73"/>
      <c r="D192" s="75"/>
      <c r="E192" s="131"/>
      <c r="F192" s="90"/>
    </row>
    <row r="193" spans="2:6" x14ac:dyDescent="0.25">
      <c r="B193" s="130"/>
      <c r="C193" s="73"/>
      <c r="D193" s="75"/>
      <c r="E193" s="131"/>
      <c r="F193" s="90"/>
    </row>
    <row r="194" spans="2:6" x14ac:dyDescent="0.25">
      <c r="B194" s="130"/>
      <c r="C194" s="73"/>
      <c r="D194" s="75"/>
      <c r="E194" s="131"/>
      <c r="F194" s="90"/>
    </row>
    <row r="195" spans="2:6" x14ac:dyDescent="0.25">
      <c r="B195" s="130"/>
      <c r="C195" s="73"/>
      <c r="D195" s="75"/>
      <c r="E195" s="131"/>
      <c r="F195" s="90"/>
    </row>
    <row r="196" spans="2:6" x14ac:dyDescent="0.25">
      <c r="B196" s="130"/>
      <c r="C196" s="73"/>
      <c r="D196" s="75"/>
      <c r="E196" s="131"/>
      <c r="F196" s="90"/>
    </row>
    <row r="197" spans="2:6" x14ac:dyDescent="0.25">
      <c r="B197" s="130"/>
      <c r="C197" s="73"/>
      <c r="D197" s="75"/>
      <c r="E197" s="131"/>
      <c r="F197" s="90"/>
    </row>
    <row r="198" spans="2:6" x14ac:dyDescent="0.25">
      <c r="B198" s="130"/>
      <c r="C198" s="73"/>
      <c r="D198" s="75"/>
      <c r="E198" s="131"/>
      <c r="F198" s="90"/>
    </row>
    <row r="199" spans="2:6" x14ac:dyDescent="0.25">
      <c r="B199" s="130"/>
      <c r="C199" s="73"/>
      <c r="D199" s="75"/>
      <c r="E199" s="131"/>
      <c r="F199" s="90"/>
    </row>
    <row r="200" spans="2:6" x14ac:dyDescent="0.25">
      <c r="B200" s="130"/>
      <c r="C200" s="73"/>
      <c r="D200" s="75"/>
      <c r="E200" s="131"/>
      <c r="F200" s="90"/>
    </row>
    <row r="201" spans="2:6" x14ac:dyDescent="0.25">
      <c r="B201" s="130"/>
      <c r="C201" s="73"/>
      <c r="D201" s="75"/>
      <c r="E201" s="131"/>
      <c r="F201" s="90"/>
    </row>
    <row r="202" spans="2:6" x14ac:dyDescent="0.25">
      <c r="B202" s="130"/>
      <c r="C202" s="73"/>
      <c r="D202" s="75"/>
      <c r="E202" s="131"/>
      <c r="F202" s="90"/>
    </row>
    <row r="203" spans="2:6" x14ac:dyDescent="0.25">
      <c r="B203" s="130"/>
      <c r="C203" s="73"/>
      <c r="D203" s="75"/>
      <c r="E203" s="131"/>
      <c r="F203" s="90"/>
    </row>
    <row r="204" spans="2:6" x14ac:dyDescent="0.25">
      <c r="B204" s="130"/>
      <c r="C204" s="73"/>
      <c r="D204" s="75"/>
      <c r="E204" s="131"/>
      <c r="F204" s="90"/>
    </row>
    <row r="205" spans="2:6" x14ac:dyDescent="0.25">
      <c r="B205" s="130"/>
      <c r="C205" s="73"/>
      <c r="D205" s="75"/>
      <c r="E205" s="131"/>
      <c r="F205" s="90"/>
    </row>
    <row r="206" spans="2:6" x14ac:dyDescent="0.25">
      <c r="B206" s="130"/>
      <c r="C206" s="73"/>
      <c r="D206" s="75"/>
      <c r="E206" s="131"/>
      <c r="F206" s="90"/>
    </row>
    <row r="207" spans="2:6" x14ac:dyDescent="0.25">
      <c r="B207" s="130"/>
      <c r="C207" s="73"/>
      <c r="D207" s="75"/>
      <c r="E207" s="131"/>
      <c r="F207" s="90"/>
    </row>
    <row r="208" spans="2:6" x14ac:dyDescent="0.25">
      <c r="B208" s="130"/>
      <c r="C208" s="73"/>
      <c r="D208" s="75"/>
      <c r="E208" s="131"/>
      <c r="F208" s="90"/>
    </row>
    <row r="209" spans="2:6" x14ac:dyDescent="0.25">
      <c r="B209" s="130"/>
      <c r="C209" s="73"/>
      <c r="D209" s="75"/>
      <c r="E209" s="131"/>
      <c r="F209" s="90"/>
    </row>
    <row r="210" spans="2:6" x14ac:dyDescent="0.25">
      <c r="B210" s="130"/>
      <c r="C210" s="73"/>
      <c r="D210" s="75"/>
      <c r="E210" s="131"/>
      <c r="F210" s="90"/>
    </row>
    <row r="211" spans="2:6" x14ac:dyDescent="0.25">
      <c r="B211" s="130"/>
      <c r="C211" s="73"/>
      <c r="D211" s="75"/>
      <c r="E211" s="131"/>
      <c r="F211" s="90"/>
    </row>
    <row r="212" spans="2:6" x14ac:dyDescent="0.25">
      <c r="B212" s="130"/>
      <c r="C212" s="73"/>
      <c r="D212" s="75"/>
      <c r="E212" s="131"/>
      <c r="F212" s="90"/>
    </row>
    <row r="213" spans="2:6" x14ac:dyDescent="0.25">
      <c r="B213" s="130"/>
      <c r="C213" s="73"/>
      <c r="D213" s="75"/>
      <c r="E213" s="131"/>
      <c r="F213" s="90"/>
    </row>
    <row r="214" spans="2:6" x14ac:dyDescent="0.25">
      <c r="B214" s="130"/>
      <c r="C214" s="73"/>
      <c r="D214" s="75"/>
      <c r="E214" s="131"/>
      <c r="F214" s="90"/>
    </row>
    <row r="215" spans="2:6" x14ac:dyDescent="0.25">
      <c r="B215" s="130"/>
      <c r="C215" s="73"/>
      <c r="D215" s="75"/>
      <c r="E215" s="131"/>
      <c r="F215" s="90"/>
    </row>
    <row r="216" spans="2:6" x14ac:dyDescent="0.25">
      <c r="B216" s="130"/>
      <c r="C216" s="73"/>
      <c r="D216" s="75"/>
      <c r="E216" s="131"/>
      <c r="F216" s="90"/>
    </row>
    <row r="217" spans="2:6" x14ac:dyDescent="0.25">
      <c r="B217" s="130"/>
      <c r="C217" s="73"/>
      <c r="D217" s="75"/>
      <c r="E217" s="131"/>
      <c r="F217" s="90"/>
    </row>
    <row r="218" spans="2:6" x14ac:dyDescent="0.25">
      <c r="B218" s="130"/>
      <c r="C218" s="73"/>
      <c r="D218" s="75"/>
      <c r="E218" s="131"/>
      <c r="F218" s="90"/>
    </row>
    <row r="219" spans="2:6" x14ac:dyDescent="0.25">
      <c r="B219" s="130"/>
      <c r="C219" s="73"/>
      <c r="D219" s="75"/>
      <c r="E219" s="131"/>
      <c r="F219" s="90"/>
    </row>
    <row r="220" spans="2:6" x14ac:dyDescent="0.25">
      <c r="B220" s="130"/>
      <c r="C220" s="73"/>
      <c r="D220" s="75"/>
      <c r="E220" s="131"/>
      <c r="F220" s="90"/>
    </row>
    <row r="221" spans="2:6" x14ac:dyDescent="0.25">
      <c r="B221" s="130"/>
      <c r="C221" s="73"/>
      <c r="D221" s="75"/>
      <c r="E221" s="131"/>
      <c r="F221" s="90"/>
    </row>
    <row r="222" spans="2:6" x14ac:dyDescent="0.25">
      <c r="B222" s="130"/>
      <c r="C222" s="73"/>
      <c r="D222" s="75"/>
      <c r="E222" s="131"/>
      <c r="F222" s="90"/>
    </row>
    <row r="223" spans="2:6" x14ac:dyDescent="0.25">
      <c r="B223" s="130"/>
      <c r="C223" s="73"/>
      <c r="D223" s="75"/>
      <c r="E223" s="131"/>
      <c r="F223" s="90"/>
    </row>
    <row r="224" spans="2:6" x14ac:dyDescent="0.25">
      <c r="B224" s="130"/>
      <c r="C224" s="73"/>
      <c r="D224" s="75"/>
      <c r="E224" s="131"/>
      <c r="F224" s="90"/>
    </row>
    <row r="225" spans="2:6" x14ac:dyDescent="0.25">
      <c r="B225" s="130"/>
      <c r="C225" s="73"/>
      <c r="D225" s="75"/>
      <c r="E225" s="131"/>
      <c r="F225" s="90"/>
    </row>
    <row r="226" spans="2:6" x14ac:dyDescent="0.25">
      <c r="B226" s="130"/>
      <c r="C226" s="73"/>
      <c r="D226" s="75"/>
      <c r="E226" s="131"/>
      <c r="F226" s="90"/>
    </row>
    <row r="227" spans="2:6" x14ac:dyDescent="0.25">
      <c r="B227" s="130"/>
      <c r="C227" s="73"/>
      <c r="D227" s="75"/>
      <c r="E227" s="131"/>
      <c r="F227" s="90"/>
    </row>
    <row r="228" spans="2:6" x14ac:dyDescent="0.25">
      <c r="B228" s="130"/>
      <c r="C228" s="73"/>
      <c r="D228" s="75"/>
      <c r="E228" s="131"/>
      <c r="F228" s="90"/>
    </row>
    <row r="229" spans="2:6" x14ac:dyDescent="0.25">
      <c r="B229" s="130"/>
      <c r="C229" s="73"/>
      <c r="D229" s="75"/>
      <c r="E229" s="131"/>
      <c r="F229" s="90"/>
    </row>
    <row r="230" spans="2:6" x14ac:dyDescent="0.25">
      <c r="B230" s="130"/>
      <c r="C230" s="73"/>
      <c r="D230" s="75"/>
      <c r="E230" s="131"/>
      <c r="F230" s="90"/>
    </row>
    <row r="231" spans="2:6" x14ac:dyDescent="0.25">
      <c r="B231" s="130"/>
      <c r="C231" s="73"/>
      <c r="D231" s="75"/>
      <c r="E231" s="131"/>
      <c r="F231" s="90"/>
    </row>
    <row r="232" spans="2:6" x14ac:dyDescent="0.25">
      <c r="B232" s="130"/>
      <c r="C232" s="73"/>
      <c r="D232" s="75"/>
      <c r="E232" s="131"/>
      <c r="F232" s="90"/>
    </row>
    <row r="233" spans="2:6" x14ac:dyDescent="0.25">
      <c r="B233" s="130"/>
      <c r="C233" s="73"/>
      <c r="D233" s="75"/>
      <c r="E233" s="131"/>
      <c r="F233" s="90"/>
    </row>
    <row r="234" spans="2:6" x14ac:dyDescent="0.25">
      <c r="B234" s="130"/>
      <c r="C234" s="73"/>
      <c r="D234" s="75"/>
      <c r="E234" s="131"/>
      <c r="F234" s="90"/>
    </row>
    <row r="235" spans="2:6" x14ac:dyDescent="0.25">
      <c r="B235" s="130"/>
      <c r="C235" s="73"/>
      <c r="D235" s="75"/>
      <c r="E235" s="131"/>
      <c r="F235" s="90"/>
    </row>
    <row r="236" spans="2:6" x14ac:dyDescent="0.25">
      <c r="B236" s="130"/>
      <c r="C236" s="73"/>
      <c r="D236" s="75"/>
      <c r="E236" s="131"/>
      <c r="F236" s="90"/>
    </row>
    <row r="237" spans="2:6" x14ac:dyDescent="0.25">
      <c r="B237" s="130"/>
      <c r="C237" s="73"/>
      <c r="D237" s="75"/>
      <c r="E237" s="131"/>
      <c r="F237" s="90"/>
    </row>
    <row r="238" spans="2:6" x14ac:dyDescent="0.25">
      <c r="B238" s="130"/>
      <c r="C238" s="73"/>
      <c r="D238" s="75"/>
      <c r="E238" s="131"/>
      <c r="F238" s="90"/>
    </row>
    <row r="239" spans="2:6" x14ac:dyDescent="0.25">
      <c r="B239" s="130"/>
      <c r="C239" s="73"/>
      <c r="D239" s="75"/>
      <c r="E239" s="131"/>
      <c r="F239" s="90"/>
    </row>
    <row r="240" spans="2:6" x14ac:dyDescent="0.25">
      <c r="B240" s="130"/>
      <c r="C240" s="73"/>
      <c r="D240" s="75"/>
      <c r="E240" s="131"/>
      <c r="F240" s="90"/>
    </row>
    <row r="241" spans="2:6" x14ac:dyDescent="0.25">
      <c r="B241" s="130"/>
      <c r="C241" s="73"/>
      <c r="D241" s="75"/>
      <c r="E241" s="131"/>
      <c r="F241" s="90"/>
    </row>
    <row r="242" spans="2:6" x14ac:dyDescent="0.25">
      <c r="B242" s="130"/>
      <c r="C242" s="73"/>
      <c r="D242" s="75"/>
      <c r="E242" s="131"/>
      <c r="F242" s="90"/>
    </row>
    <row r="243" spans="2:6" x14ac:dyDescent="0.25">
      <c r="B243" s="130"/>
      <c r="C243" s="73"/>
      <c r="D243" s="75"/>
      <c r="E243" s="131"/>
      <c r="F243" s="90"/>
    </row>
    <row r="244" spans="2:6" x14ac:dyDescent="0.25">
      <c r="B244" s="130"/>
      <c r="C244" s="73"/>
      <c r="D244" s="75"/>
      <c r="E244" s="131"/>
      <c r="F244" s="90"/>
    </row>
    <row r="245" spans="2:6" x14ac:dyDescent="0.25">
      <c r="B245" s="130"/>
      <c r="C245" s="73"/>
      <c r="D245" s="75"/>
      <c r="E245" s="131"/>
      <c r="F245" s="90"/>
    </row>
    <row r="246" spans="2:6" x14ac:dyDescent="0.25">
      <c r="B246" s="130"/>
      <c r="C246" s="73"/>
      <c r="D246" s="75"/>
      <c r="E246" s="131"/>
      <c r="F246" s="90"/>
    </row>
    <row r="247" spans="2:6" x14ac:dyDescent="0.25">
      <c r="B247" s="130"/>
      <c r="C247" s="73"/>
      <c r="D247" s="75"/>
      <c r="E247" s="131"/>
      <c r="F247" s="90"/>
    </row>
    <row r="248" spans="2:6" x14ac:dyDescent="0.25">
      <c r="B248" s="130"/>
      <c r="C248" s="73"/>
      <c r="D248" s="75"/>
      <c r="E248" s="131"/>
      <c r="F248" s="90"/>
    </row>
    <row r="249" spans="2:6" x14ac:dyDescent="0.25">
      <c r="B249" s="130"/>
      <c r="C249" s="73"/>
      <c r="D249" s="75"/>
      <c r="E249" s="131"/>
      <c r="F249" s="90"/>
    </row>
    <row r="250" spans="2:6" x14ac:dyDescent="0.25">
      <c r="B250" s="130"/>
      <c r="C250" s="73"/>
      <c r="D250" s="75"/>
      <c r="E250" s="131"/>
      <c r="F250" s="90"/>
    </row>
    <row r="251" spans="2:6" x14ac:dyDescent="0.25">
      <c r="B251" s="130"/>
      <c r="C251" s="73"/>
      <c r="D251" s="75"/>
      <c r="E251" s="131"/>
      <c r="F251" s="90"/>
    </row>
    <row r="252" spans="2:6" x14ac:dyDescent="0.25">
      <c r="B252" s="130"/>
      <c r="C252" s="73"/>
      <c r="D252" s="75"/>
      <c r="E252" s="131"/>
      <c r="F252" s="90"/>
    </row>
    <row r="253" spans="2:6" x14ac:dyDescent="0.25">
      <c r="B253" s="130"/>
      <c r="C253" s="73"/>
      <c r="D253" s="75"/>
      <c r="E253" s="131"/>
      <c r="F253" s="90"/>
    </row>
    <row r="254" spans="2:6" x14ac:dyDescent="0.25">
      <c r="B254" s="130"/>
      <c r="C254" s="73"/>
      <c r="D254" s="75"/>
      <c r="E254" s="131"/>
      <c r="F254" s="90"/>
    </row>
    <row r="255" spans="2:6" x14ac:dyDescent="0.25">
      <c r="B255" s="130"/>
      <c r="C255" s="73"/>
      <c r="D255" s="75"/>
      <c r="E255" s="131"/>
      <c r="F255" s="90"/>
    </row>
    <row r="256" spans="2:6" x14ac:dyDescent="0.25">
      <c r="B256" s="130"/>
      <c r="C256" s="73"/>
      <c r="D256" s="75"/>
      <c r="E256" s="131"/>
      <c r="F256" s="90"/>
    </row>
    <row r="257" spans="2:6" x14ac:dyDescent="0.25">
      <c r="B257" s="130"/>
      <c r="C257" s="73"/>
      <c r="D257" s="75"/>
      <c r="E257" s="131"/>
      <c r="F257" s="90"/>
    </row>
    <row r="258" spans="2:6" x14ac:dyDescent="0.25">
      <c r="B258" s="130"/>
      <c r="C258" s="73"/>
      <c r="D258" s="75"/>
      <c r="E258" s="131"/>
      <c r="F258" s="90"/>
    </row>
    <row r="259" spans="2:6" x14ac:dyDescent="0.25">
      <c r="B259" s="130"/>
      <c r="C259" s="73"/>
      <c r="D259" s="75"/>
      <c r="E259" s="131"/>
      <c r="F259" s="90"/>
    </row>
    <row r="260" spans="2:6" x14ac:dyDescent="0.25">
      <c r="B260" s="130"/>
      <c r="C260" s="73"/>
      <c r="D260" s="75"/>
      <c r="E260" s="131"/>
      <c r="F260" s="90"/>
    </row>
    <row r="261" spans="2:6" x14ac:dyDescent="0.25">
      <c r="B261" s="130"/>
      <c r="C261" s="73"/>
      <c r="D261" s="75"/>
      <c r="E261" s="131"/>
      <c r="F261" s="90"/>
    </row>
    <row r="262" spans="2:6" x14ac:dyDescent="0.25">
      <c r="B262" s="130"/>
      <c r="C262" s="73"/>
      <c r="D262" s="75"/>
      <c r="E262" s="131"/>
      <c r="F262" s="90"/>
    </row>
    <row r="263" spans="2:6" x14ac:dyDescent="0.25">
      <c r="B263" s="130"/>
      <c r="C263" s="73"/>
      <c r="D263" s="75"/>
      <c r="E263" s="131"/>
      <c r="F263" s="90"/>
    </row>
    <row r="264" spans="2:6" x14ac:dyDescent="0.25">
      <c r="B264" s="130"/>
      <c r="C264" s="73"/>
      <c r="D264" s="75"/>
      <c r="E264" s="131"/>
      <c r="F264" s="90"/>
    </row>
    <row r="265" spans="2:6" x14ac:dyDescent="0.25">
      <c r="B265" s="130"/>
      <c r="C265" s="73"/>
      <c r="D265" s="75"/>
      <c r="E265" s="131"/>
      <c r="F265" s="90"/>
    </row>
    <row r="266" spans="2:6" x14ac:dyDescent="0.25">
      <c r="B266" s="130"/>
      <c r="C266" s="73"/>
      <c r="D266" s="75"/>
      <c r="E266" s="131"/>
      <c r="F266" s="90"/>
    </row>
    <row r="267" spans="2:6" x14ac:dyDescent="0.25">
      <c r="B267" s="130"/>
      <c r="C267" s="73"/>
      <c r="D267" s="75"/>
      <c r="E267" s="131"/>
      <c r="F267" s="90"/>
    </row>
    <row r="268" spans="2:6" x14ac:dyDescent="0.25">
      <c r="B268" s="130"/>
      <c r="C268" s="73"/>
      <c r="D268" s="75"/>
      <c r="E268" s="131"/>
      <c r="F268" s="90"/>
    </row>
    <row r="269" spans="2:6" x14ac:dyDescent="0.25">
      <c r="B269" s="130"/>
      <c r="C269" s="73"/>
      <c r="D269" s="75"/>
      <c r="E269" s="131"/>
      <c r="F269" s="90"/>
    </row>
    <row r="270" spans="2:6" x14ac:dyDescent="0.25">
      <c r="B270" s="130"/>
      <c r="C270" s="73"/>
      <c r="D270" s="75"/>
      <c r="E270" s="131"/>
      <c r="F270" s="90"/>
    </row>
    <row r="271" spans="2:6" x14ac:dyDescent="0.25">
      <c r="B271" s="130"/>
      <c r="C271" s="73"/>
      <c r="D271" s="75"/>
      <c r="E271" s="131"/>
      <c r="F271" s="90"/>
    </row>
    <row r="272" spans="2:6" x14ac:dyDescent="0.25">
      <c r="B272" s="130"/>
      <c r="C272" s="73"/>
      <c r="D272" s="75"/>
      <c r="E272" s="131"/>
      <c r="F272" s="90"/>
    </row>
    <row r="273" spans="2:6" x14ac:dyDescent="0.25">
      <c r="B273" s="130"/>
      <c r="C273" s="73"/>
      <c r="D273" s="75"/>
      <c r="E273" s="131"/>
      <c r="F273" s="90"/>
    </row>
    <row r="274" spans="2:6" x14ac:dyDescent="0.25">
      <c r="B274" s="130"/>
      <c r="C274" s="73"/>
      <c r="D274" s="75"/>
      <c r="E274" s="131"/>
      <c r="F274" s="90"/>
    </row>
    <row r="275" spans="2:6" x14ac:dyDescent="0.25">
      <c r="B275" s="130"/>
      <c r="C275" s="72"/>
      <c r="D275" s="75"/>
      <c r="E275" s="131"/>
      <c r="F275" s="90"/>
    </row>
    <row r="276" spans="2:6" x14ac:dyDescent="0.25">
      <c r="B276" s="130"/>
      <c r="C276" s="72"/>
      <c r="D276" s="75"/>
      <c r="E276" s="131"/>
      <c r="F276" s="90"/>
    </row>
    <row r="277" spans="2:6" x14ac:dyDescent="0.25">
      <c r="B277" s="130"/>
      <c r="C277" s="72"/>
      <c r="D277" s="75"/>
      <c r="E277" s="131"/>
      <c r="F277" s="90"/>
    </row>
    <row r="278" spans="2:6" x14ac:dyDescent="0.25">
      <c r="B278" s="130"/>
      <c r="C278" s="72"/>
      <c r="D278" s="75"/>
      <c r="E278" s="131"/>
      <c r="F278" s="90"/>
    </row>
    <row r="279" spans="2:6" x14ac:dyDescent="0.25">
      <c r="B279" s="130"/>
      <c r="C279" s="72"/>
      <c r="D279" s="75"/>
      <c r="E279" s="131"/>
      <c r="F279" s="90"/>
    </row>
    <row r="280" spans="2:6" x14ac:dyDescent="0.25">
      <c r="B280" s="130"/>
      <c r="C280" s="72"/>
      <c r="D280" s="75"/>
      <c r="E280" s="131"/>
      <c r="F280" s="90"/>
    </row>
    <row r="281" spans="2:6" x14ac:dyDescent="0.25">
      <c r="B281" s="130"/>
      <c r="C281" s="72"/>
      <c r="D281" s="75"/>
      <c r="E281" s="131"/>
      <c r="F281" s="90"/>
    </row>
    <row r="282" spans="2:6" x14ac:dyDescent="0.25">
      <c r="B282" s="130"/>
      <c r="C282" s="72"/>
      <c r="D282" s="75"/>
      <c r="E282" s="131"/>
      <c r="F282" s="90"/>
    </row>
    <row r="283" spans="2:6" x14ac:dyDescent="0.25">
      <c r="B283" s="130"/>
      <c r="C283" s="72"/>
      <c r="D283" s="75"/>
      <c r="E283" s="131"/>
      <c r="F283" s="90"/>
    </row>
    <row r="284" spans="2:6" x14ac:dyDescent="0.25">
      <c r="B284" s="130"/>
      <c r="C284" s="72"/>
      <c r="D284" s="75"/>
      <c r="E284" s="131"/>
      <c r="F284" s="90"/>
    </row>
    <row r="285" spans="2:6" x14ac:dyDescent="0.25">
      <c r="B285" s="130"/>
      <c r="C285" s="72"/>
      <c r="D285" s="75"/>
      <c r="E285" s="131"/>
      <c r="F285" s="90"/>
    </row>
    <row r="286" spans="2:6" x14ac:dyDescent="0.25">
      <c r="B286" s="130"/>
      <c r="C286" s="72"/>
      <c r="D286" s="75"/>
      <c r="E286" s="131"/>
      <c r="F286" s="90"/>
    </row>
    <row r="287" spans="2:6" x14ac:dyDescent="0.25">
      <c r="B287" s="130"/>
      <c r="C287" s="72"/>
      <c r="D287" s="75"/>
      <c r="E287" s="131"/>
      <c r="F287" s="90"/>
    </row>
    <row r="288" spans="2:6" x14ac:dyDescent="0.25">
      <c r="B288" s="130"/>
      <c r="C288" s="72"/>
      <c r="D288" s="75"/>
      <c r="E288" s="131"/>
      <c r="F288" s="90"/>
    </row>
    <row r="289" spans="2:6" x14ac:dyDescent="0.25">
      <c r="B289" s="130"/>
      <c r="C289" s="72"/>
      <c r="D289" s="75"/>
      <c r="E289" s="131"/>
      <c r="F289" s="90"/>
    </row>
    <row r="290" spans="2:6" x14ac:dyDescent="0.25">
      <c r="B290" s="130"/>
      <c r="C290" s="72"/>
      <c r="D290" s="75"/>
      <c r="E290" s="131"/>
      <c r="F290" s="90"/>
    </row>
    <row r="291" spans="2:6" x14ac:dyDescent="0.25">
      <c r="B291" s="130"/>
      <c r="C291" s="72"/>
      <c r="D291" s="75"/>
      <c r="E291" s="131"/>
      <c r="F291" s="90"/>
    </row>
    <row r="292" spans="2:6" x14ac:dyDescent="0.25">
      <c r="B292" s="130"/>
      <c r="C292" s="72"/>
      <c r="D292" s="75"/>
      <c r="E292" s="131"/>
      <c r="F292" s="90"/>
    </row>
    <row r="293" spans="2:6" x14ac:dyDescent="0.25">
      <c r="B293" s="130"/>
      <c r="C293" s="72"/>
      <c r="D293" s="75"/>
      <c r="E293" s="131"/>
      <c r="F293" s="90"/>
    </row>
    <row r="294" spans="2:6" x14ac:dyDescent="0.25">
      <c r="B294" s="130"/>
      <c r="C294" s="72"/>
      <c r="D294" s="75"/>
      <c r="E294" s="131"/>
      <c r="F294" s="90"/>
    </row>
    <row r="295" spans="2:6" x14ac:dyDescent="0.25">
      <c r="B295" s="130"/>
      <c r="C295" s="72"/>
      <c r="D295" s="75"/>
      <c r="E295" s="131"/>
      <c r="F295" s="90"/>
    </row>
    <row r="296" spans="2:6" x14ac:dyDescent="0.25">
      <c r="B296" s="130"/>
      <c r="C296" s="72"/>
      <c r="D296" s="75"/>
      <c r="E296" s="131"/>
      <c r="F296" s="90"/>
    </row>
    <row r="297" spans="2:6" x14ac:dyDescent="0.25">
      <c r="B297" s="130"/>
      <c r="C297" s="72"/>
      <c r="D297" s="75"/>
      <c r="E297" s="131"/>
      <c r="F297" s="90"/>
    </row>
    <row r="298" spans="2:6" x14ac:dyDescent="0.25">
      <c r="B298" s="130"/>
      <c r="C298" s="72"/>
      <c r="D298" s="75"/>
      <c r="E298" s="131"/>
      <c r="F298" s="90"/>
    </row>
    <row r="299" spans="2:6" x14ac:dyDescent="0.25">
      <c r="B299" s="130"/>
      <c r="C299" s="72"/>
      <c r="D299" s="75"/>
      <c r="E299" s="131"/>
      <c r="F299" s="90"/>
    </row>
    <row r="300" spans="2:6" x14ac:dyDescent="0.25">
      <c r="B300" s="130"/>
      <c r="C300" s="72"/>
      <c r="D300" s="75"/>
      <c r="E300" s="131"/>
      <c r="F300" s="90"/>
    </row>
    <row r="301" spans="2:6" x14ac:dyDescent="0.25">
      <c r="B301" s="130"/>
      <c r="C301" s="72"/>
      <c r="D301" s="75"/>
      <c r="E301" s="131"/>
      <c r="F301" s="90"/>
    </row>
    <row r="302" spans="2:6" x14ac:dyDescent="0.25">
      <c r="B302" s="130"/>
      <c r="C302" s="72"/>
      <c r="D302" s="75"/>
      <c r="E302" s="131"/>
      <c r="F302" s="90"/>
    </row>
    <row r="303" spans="2:6" x14ac:dyDescent="0.25">
      <c r="B303" s="130"/>
      <c r="C303" s="72"/>
      <c r="D303" s="75"/>
      <c r="E303" s="131"/>
      <c r="F303" s="90"/>
    </row>
    <row r="304" spans="2:6" x14ac:dyDescent="0.25">
      <c r="B304" s="130"/>
      <c r="C304" s="72"/>
      <c r="D304" s="75"/>
      <c r="E304" s="131"/>
      <c r="F304" s="90"/>
    </row>
    <row r="305" spans="2:6" x14ac:dyDescent="0.25">
      <c r="B305" s="130"/>
      <c r="C305" s="72"/>
      <c r="D305" s="75"/>
      <c r="E305" s="131"/>
      <c r="F305" s="90"/>
    </row>
    <row r="306" spans="2:6" x14ac:dyDescent="0.25">
      <c r="B306" s="130"/>
      <c r="C306" s="72"/>
      <c r="D306" s="75"/>
      <c r="E306" s="131"/>
      <c r="F306" s="90"/>
    </row>
    <row r="307" spans="2:6" x14ac:dyDescent="0.25">
      <c r="B307" s="130"/>
      <c r="C307" s="72"/>
      <c r="D307" s="75"/>
      <c r="E307" s="131"/>
      <c r="F307" s="90"/>
    </row>
    <row r="308" spans="2:6" x14ac:dyDescent="0.25">
      <c r="B308" s="130"/>
      <c r="C308" s="72"/>
      <c r="D308" s="75"/>
      <c r="E308" s="131"/>
      <c r="F308" s="90"/>
    </row>
    <row r="309" spans="2:6" x14ac:dyDescent="0.25">
      <c r="B309" s="130"/>
      <c r="C309" s="72"/>
      <c r="D309" s="75"/>
      <c r="E309" s="131"/>
      <c r="F309" s="90"/>
    </row>
    <row r="310" spans="2:6" x14ac:dyDescent="0.25">
      <c r="B310" s="130"/>
      <c r="C310" s="72"/>
      <c r="D310" s="75"/>
      <c r="E310" s="131"/>
      <c r="F310" s="90"/>
    </row>
    <row r="311" spans="2:6" x14ac:dyDescent="0.25">
      <c r="B311" s="130"/>
      <c r="C311" s="72"/>
      <c r="D311" s="75"/>
      <c r="E311" s="131"/>
      <c r="F311" s="90"/>
    </row>
    <row r="312" spans="2:6" x14ac:dyDescent="0.25">
      <c r="B312" s="130"/>
      <c r="C312" s="72"/>
      <c r="D312" s="75"/>
      <c r="E312" s="131"/>
      <c r="F312" s="90"/>
    </row>
    <row r="313" spans="2:6" x14ac:dyDescent="0.25">
      <c r="B313" s="130"/>
      <c r="C313" s="72"/>
      <c r="D313" s="75"/>
      <c r="E313" s="131"/>
      <c r="F313" s="90"/>
    </row>
    <row r="314" spans="2:6" x14ac:dyDescent="0.25">
      <c r="B314" s="130"/>
      <c r="C314" s="72"/>
      <c r="D314" s="75"/>
      <c r="E314" s="131"/>
      <c r="F314" s="90"/>
    </row>
    <row r="315" spans="2:6" x14ac:dyDescent="0.25">
      <c r="B315" s="130"/>
      <c r="C315" s="72"/>
      <c r="D315" s="75"/>
      <c r="E315" s="131"/>
      <c r="F315" s="90"/>
    </row>
    <row r="316" spans="2:6" x14ac:dyDescent="0.25">
      <c r="B316" s="130"/>
      <c r="C316" s="72"/>
      <c r="D316" s="75"/>
      <c r="E316" s="131"/>
      <c r="F316" s="90"/>
    </row>
    <row r="317" spans="2:6" x14ac:dyDescent="0.25">
      <c r="B317" s="130"/>
      <c r="C317" s="72"/>
      <c r="D317" s="75"/>
      <c r="E317" s="131"/>
      <c r="F317" s="90"/>
    </row>
    <row r="318" spans="2:6" x14ac:dyDescent="0.25">
      <c r="B318" s="130"/>
      <c r="C318" s="72"/>
      <c r="D318" s="75"/>
      <c r="E318" s="131"/>
      <c r="F318" s="90"/>
    </row>
    <row r="319" spans="2:6" x14ac:dyDescent="0.25">
      <c r="B319" s="130"/>
      <c r="C319" s="72"/>
      <c r="D319" s="75"/>
      <c r="E319" s="131"/>
      <c r="F319" s="90"/>
    </row>
    <row r="320" spans="2:6" x14ac:dyDescent="0.25">
      <c r="B320" s="130"/>
      <c r="C320" s="72"/>
      <c r="D320" s="75"/>
      <c r="E320" s="131"/>
      <c r="F320" s="90"/>
    </row>
    <row r="321" spans="2:6" x14ac:dyDescent="0.25">
      <c r="B321" s="130"/>
      <c r="C321" s="72"/>
      <c r="D321" s="75"/>
      <c r="E321" s="131"/>
      <c r="F321" s="90"/>
    </row>
    <row r="322" spans="2:6" x14ac:dyDescent="0.25">
      <c r="B322" s="130"/>
      <c r="C322" s="72"/>
      <c r="D322" s="75"/>
      <c r="E322" s="131"/>
      <c r="F322" s="90"/>
    </row>
    <row r="323" spans="2:6" x14ac:dyDescent="0.25">
      <c r="B323" s="130"/>
      <c r="C323" s="72"/>
      <c r="D323" s="75"/>
      <c r="E323" s="131"/>
      <c r="F323" s="90"/>
    </row>
    <row r="324" spans="2:6" x14ac:dyDescent="0.25">
      <c r="B324" s="130"/>
      <c r="C324" s="72"/>
      <c r="D324" s="75"/>
      <c r="E324" s="131"/>
      <c r="F324" s="90"/>
    </row>
    <row r="325" spans="2:6" x14ac:dyDescent="0.25">
      <c r="B325" s="130"/>
      <c r="C325" s="72"/>
      <c r="D325" s="75"/>
      <c r="E325" s="131"/>
      <c r="F325" s="90"/>
    </row>
    <row r="326" spans="2:6" x14ac:dyDescent="0.25">
      <c r="B326" s="130"/>
      <c r="C326" s="72"/>
      <c r="D326" s="75"/>
      <c r="E326" s="131"/>
      <c r="F326" s="90"/>
    </row>
    <row r="327" spans="2:6" x14ac:dyDescent="0.25">
      <c r="B327" s="130"/>
      <c r="C327" s="72"/>
      <c r="D327" s="75"/>
      <c r="E327" s="131"/>
      <c r="F327" s="90"/>
    </row>
    <row r="328" spans="2:6" x14ac:dyDescent="0.25">
      <c r="B328" s="130"/>
      <c r="C328" s="72"/>
      <c r="D328" s="75"/>
      <c r="E328" s="131"/>
      <c r="F328" s="90"/>
    </row>
    <row r="329" spans="2:6" x14ac:dyDescent="0.25">
      <c r="B329" s="130"/>
      <c r="C329" s="72"/>
      <c r="D329" s="75"/>
      <c r="E329" s="131"/>
      <c r="F329" s="90"/>
    </row>
    <row r="330" spans="2:6" x14ac:dyDescent="0.25">
      <c r="B330" s="130"/>
      <c r="C330" s="72"/>
      <c r="D330" s="75"/>
      <c r="E330" s="131"/>
      <c r="F330" s="90"/>
    </row>
    <row r="331" spans="2:6" x14ac:dyDescent="0.25">
      <c r="B331" s="130"/>
      <c r="C331" s="72"/>
      <c r="D331" s="75"/>
      <c r="E331" s="131"/>
      <c r="F331" s="90"/>
    </row>
    <row r="332" spans="2:6" x14ac:dyDescent="0.25">
      <c r="B332" s="130"/>
      <c r="C332" s="72"/>
      <c r="D332" s="75"/>
      <c r="E332" s="131"/>
      <c r="F332" s="90"/>
    </row>
    <row r="333" spans="2:6" x14ac:dyDescent="0.25">
      <c r="B333" s="130"/>
      <c r="C333" s="72"/>
      <c r="D333" s="75"/>
      <c r="E333" s="131"/>
      <c r="F333" s="90"/>
    </row>
    <row r="334" spans="2:6" x14ac:dyDescent="0.25">
      <c r="B334" s="130"/>
      <c r="C334" s="72"/>
      <c r="D334" s="75"/>
      <c r="E334" s="131"/>
      <c r="F334" s="90"/>
    </row>
    <row r="335" spans="2:6" x14ac:dyDescent="0.25">
      <c r="B335" s="130"/>
      <c r="C335" s="72"/>
      <c r="D335" s="75"/>
      <c r="E335" s="131"/>
      <c r="F335" s="90"/>
    </row>
    <row r="336" spans="2:6" x14ac:dyDescent="0.25">
      <c r="B336" s="130"/>
      <c r="C336" s="72"/>
      <c r="D336" s="75"/>
      <c r="E336" s="131"/>
      <c r="F336" s="90"/>
    </row>
    <row r="337" spans="2:6" x14ac:dyDescent="0.25">
      <c r="B337" s="130"/>
      <c r="C337" s="72"/>
      <c r="D337" s="75"/>
      <c r="E337" s="131"/>
      <c r="F337" s="90"/>
    </row>
    <row r="338" spans="2:6" x14ac:dyDescent="0.25">
      <c r="B338" s="130"/>
      <c r="C338" s="72"/>
      <c r="D338" s="75"/>
      <c r="E338" s="131"/>
      <c r="F338" s="90"/>
    </row>
    <row r="339" spans="2:6" x14ac:dyDescent="0.25">
      <c r="B339" s="130"/>
      <c r="C339" s="72"/>
      <c r="D339" s="75"/>
      <c r="E339" s="131"/>
      <c r="F339" s="90"/>
    </row>
    <row r="340" spans="2:6" x14ac:dyDescent="0.25">
      <c r="B340" s="130"/>
      <c r="C340" s="72"/>
      <c r="D340" s="75"/>
      <c r="E340" s="131"/>
      <c r="F340" s="90"/>
    </row>
    <row r="341" spans="2:6" x14ac:dyDescent="0.25">
      <c r="B341" s="130"/>
      <c r="C341" s="72"/>
      <c r="D341" s="75"/>
      <c r="E341" s="131"/>
      <c r="F341" s="90"/>
    </row>
    <row r="342" spans="2:6" x14ac:dyDescent="0.25">
      <c r="B342" s="130"/>
      <c r="C342" s="72"/>
      <c r="D342" s="75"/>
      <c r="E342" s="131"/>
      <c r="F342" s="90"/>
    </row>
    <row r="343" spans="2:6" x14ac:dyDescent="0.25">
      <c r="B343" s="130"/>
      <c r="C343" s="72"/>
      <c r="D343" s="75"/>
      <c r="E343" s="131"/>
      <c r="F343" s="90"/>
    </row>
    <row r="344" spans="2:6" x14ac:dyDescent="0.25">
      <c r="B344" s="130"/>
      <c r="C344" s="72"/>
      <c r="D344" s="75"/>
      <c r="E344" s="131"/>
      <c r="F344" s="90"/>
    </row>
    <row r="345" spans="2:6" x14ac:dyDescent="0.25">
      <c r="B345" s="130"/>
      <c r="C345" s="72"/>
      <c r="D345" s="75"/>
      <c r="E345" s="131"/>
      <c r="F345" s="90"/>
    </row>
    <row r="346" spans="2:6" x14ac:dyDescent="0.25">
      <c r="B346" s="130"/>
      <c r="C346" s="72"/>
      <c r="D346" s="75"/>
      <c r="E346" s="131"/>
      <c r="F346" s="90"/>
    </row>
    <row r="347" spans="2:6" x14ac:dyDescent="0.25">
      <c r="B347" s="130"/>
      <c r="C347" s="72"/>
      <c r="D347" s="75"/>
      <c r="E347" s="131"/>
      <c r="F347" s="90"/>
    </row>
    <row r="348" spans="2:6" x14ac:dyDescent="0.25">
      <c r="B348" s="130"/>
      <c r="C348" s="72"/>
      <c r="D348" s="75"/>
      <c r="E348" s="131"/>
      <c r="F348" s="90"/>
    </row>
    <row r="349" spans="2:6" x14ac:dyDescent="0.25">
      <c r="B349" s="130"/>
      <c r="C349" s="72"/>
      <c r="D349" s="75"/>
      <c r="E349" s="131"/>
      <c r="F349" s="90"/>
    </row>
    <row r="350" spans="2:6" x14ac:dyDescent="0.25">
      <c r="B350" s="130"/>
      <c r="C350" s="72"/>
      <c r="D350" s="75"/>
      <c r="E350" s="131"/>
      <c r="F350" s="90"/>
    </row>
    <row r="351" spans="2:6" x14ac:dyDescent="0.25">
      <c r="B351" s="130"/>
      <c r="C351" s="72"/>
      <c r="D351" s="75"/>
      <c r="E351" s="131"/>
      <c r="F351" s="90"/>
    </row>
    <row r="352" spans="2:6" x14ac:dyDescent="0.25">
      <c r="B352" s="130"/>
      <c r="C352" s="72"/>
      <c r="D352" s="75"/>
      <c r="E352" s="131"/>
      <c r="F352" s="90"/>
    </row>
    <row r="353" spans="2:6" x14ac:dyDescent="0.25">
      <c r="B353" s="130"/>
      <c r="C353" s="72"/>
      <c r="D353" s="75"/>
      <c r="E353" s="131"/>
      <c r="F353" s="90"/>
    </row>
    <row r="354" spans="2:6" x14ac:dyDescent="0.25">
      <c r="B354" s="130"/>
      <c r="C354" s="72"/>
      <c r="D354" s="75"/>
      <c r="E354" s="131"/>
      <c r="F354" s="90"/>
    </row>
    <row r="355" spans="2:6" x14ac:dyDescent="0.25">
      <c r="B355" s="130"/>
      <c r="C355" s="72"/>
      <c r="D355" s="75"/>
      <c r="E355" s="131"/>
      <c r="F355" s="90"/>
    </row>
    <row r="356" spans="2:6" x14ac:dyDescent="0.25">
      <c r="B356" s="130"/>
      <c r="C356" s="72"/>
      <c r="D356" s="75"/>
      <c r="E356" s="131"/>
      <c r="F356" s="90"/>
    </row>
    <row r="357" spans="2:6" x14ac:dyDescent="0.25">
      <c r="B357" s="130"/>
      <c r="C357" s="72"/>
      <c r="D357" s="75"/>
      <c r="E357" s="131"/>
      <c r="F357" s="90"/>
    </row>
    <row r="358" spans="2:6" x14ac:dyDescent="0.25">
      <c r="B358" s="130"/>
      <c r="C358" s="72"/>
      <c r="D358" s="75"/>
      <c r="E358" s="131"/>
      <c r="F358" s="90"/>
    </row>
    <row r="359" spans="2:6" x14ac:dyDescent="0.25">
      <c r="B359" s="130"/>
      <c r="C359" s="72"/>
      <c r="D359" s="75"/>
      <c r="E359" s="131"/>
      <c r="F359" s="90"/>
    </row>
    <row r="360" spans="2:6" x14ac:dyDescent="0.25">
      <c r="B360" s="130"/>
      <c r="C360" s="72"/>
      <c r="D360" s="75"/>
      <c r="E360" s="131"/>
      <c r="F360" s="90"/>
    </row>
    <row r="361" spans="2:6" x14ac:dyDescent="0.25">
      <c r="B361" s="130"/>
      <c r="C361" s="72"/>
      <c r="D361" s="75"/>
      <c r="E361" s="131"/>
      <c r="F361" s="90"/>
    </row>
    <row r="362" spans="2:6" x14ac:dyDescent="0.25">
      <c r="B362" s="130"/>
      <c r="C362" s="72"/>
      <c r="D362" s="75"/>
      <c r="E362" s="131"/>
      <c r="F362" s="90"/>
    </row>
    <row r="363" spans="2:6" x14ac:dyDescent="0.25">
      <c r="B363" s="130"/>
      <c r="C363" s="72"/>
      <c r="D363" s="75"/>
      <c r="E363" s="131"/>
      <c r="F363" s="90"/>
    </row>
    <row r="364" spans="2:6" x14ac:dyDescent="0.25">
      <c r="B364" s="130"/>
      <c r="C364" s="72"/>
      <c r="D364" s="75"/>
      <c r="E364" s="131"/>
      <c r="F364" s="90"/>
    </row>
    <row r="365" spans="2:6" x14ac:dyDescent="0.25">
      <c r="B365" s="130"/>
      <c r="C365" s="72"/>
      <c r="D365" s="75"/>
      <c r="E365" s="131"/>
      <c r="F365" s="90"/>
    </row>
    <row r="366" spans="2:6" x14ac:dyDescent="0.25">
      <c r="B366" s="130"/>
      <c r="C366" s="72"/>
      <c r="D366" s="75"/>
      <c r="E366" s="131"/>
      <c r="F366" s="90"/>
    </row>
    <row r="367" spans="2:6" x14ac:dyDescent="0.25">
      <c r="B367" s="130"/>
      <c r="C367" s="72"/>
      <c r="D367" s="75"/>
      <c r="E367" s="131"/>
      <c r="F367" s="90"/>
    </row>
    <row r="368" spans="2:6" x14ac:dyDescent="0.25">
      <c r="B368" s="130"/>
      <c r="C368" s="72"/>
      <c r="D368" s="75"/>
      <c r="E368" s="131"/>
      <c r="F368" s="90"/>
    </row>
    <row r="369" spans="2:6" x14ac:dyDescent="0.25">
      <c r="B369" s="130"/>
      <c r="C369" s="72"/>
      <c r="D369" s="75"/>
      <c r="E369" s="131"/>
      <c r="F369" s="90"/>
    </row>
    <row r="370" spans="2:6" x14ac:dyDescent="0.25">
      <c r="B370" s="130"/>
      <c r="C370" s="72"/>
      <c r="D370" s="75"/>
      <c r="E370" s="131"/>
      <c r="F370" s="90"/>
    </row>
    <row r="371" spans="2:6" x14ac:dyDescent="0.25">
      <c r="B371" s="130"/>
      <c r="C371" s="72"/>
      <c r="D371" s="75"/>
      <c r="E371" s="131"/>
      <c r="F371" s="90"/>
    </row>
    <row r="372" spans="2:6" x14ac:dyDescent="0.25">
      <c r="B372" s="130"/>
      <c r="C372" s="72"/>
      <c r="D372" s="75"/>
      <c r="E372" s="131"/>
      <c r="F372" s="90"/>
    </row>
    <row r="373" spans="2:6" x14ac:dyDescent="0.25">
      <c r="B373" s="130"/>
      <c r="C373" s="72"/>
      <c r="D373" s="75"/>
      <c r="E373" s="131"/>
      <c r="F373" s="90"/>
    </row>
    <row r="374" spans="2:6" x14ac:dyDescent="0.25">
      <c r="B374" s="130"/>
      <c r="C374" s="72"/>
      <c r="D374" s="75"/>
      <c r="E374" s="131"/>
      <c r="F374" s="90"/>
    </row>
    <row r="375" spans="2:6" x14ac:dyDescent="0.25">
      <c r="B375" s="130"/>
      <c r="C375" s="72"/>
      <c r="D375" s="75"/>
      <c r="E375" s="131"/>
      <c r="F375" s="90"/>
    </row>
    <row r="376" spans="2:6" x14ac:dyDescent="0.25">
      <c r="B376" s="130"/>
      <c r="C376" s="72"/>
      <c r="D376" s="75"/>
      <c r="E376" s="131"/>
      <c r="F376" s="90"/>
    </row>
    <row r="377" spans="2:6" x14ac:dyDescent="0.25">
      <c r="B377" s="130"/>
      <c r="C377" s="72"/>
      <c r="D377" s="75"/>
      <c r="E377" s="131"/>
      <c r="F377" s="90"/>
    </row>
    <row r="378" spans="2:6" x14ac:dyDescent="0.25">
      <c r="B378" s="130"/>
      <c r="C378" s="72"/>
      <c r="D378" s="75"/>
      <c r="E378" s="131"/>
      <c r="F378" s="90"/>
    </row>
    <row r="379" spans="2:6" x14ac:dyDescent="0.25">
      <c r="B379" s="130"/>
      <c r="C379" s="72"/>
      <c r="D379" s="75"/>
      <c r="E379" s="131"/>
      <c r="F379" s="90"/>
    </row>
    <row r="380" spans="2:6" x14ac:dyDescent="0.25">
      <c r="B380" s="130"/>
      <c r="C380" s="72"/>
      <c r="D380" s="75"/>
      <c r="E380" s="131"/>
      <c r="F380" s="90"/>
    </row>
    <row r="381" spans="2:6" x14ac:dyDescent="0.25">
      <c r="B381" s="130"/>
      <c r="C381" s="72"/>
      <c r="D381" s="75"/>
      <c r="E381" s="131"/>
      <c r="F381" s="90"/>
    </row>
    <row r="382" spans="2:6" x14ac:dyDescent="0.25">
      <c r="B382" s="130"/>
      <c r="C382" s="72"/>
      <c r="D382" s="75"/>
      <c r="E382" s="131"/>
      <c r="F382" s="90"/>
    </row>
    <row r="383" spans="2:6" x14ac:dyDescent="0.25">
      <c r="B383" s="130"/>
      <c r="C383" s="72"/>
      <c r="D383" s="75"/>
      <c r="E383" s="131"/>
      <c r="F383" s="90"/>
    </row>
    <row r="384" spans="2:6" x14ac:dyDescent="0.25">
      <c r="B384" s="130"/>
      <c r="C384" s="72"/>
      <c r="D384" s="75"/>
      <c r="E384" s="131"/>
      <c r="F384" s="90"/>
    </row>
    <row r="385" spans="2:6" x14ac:dyDescent="0.25">
      <c r="B385" s="130"/>
      <c r="C385" s="72"/>
      <c r="D385" s="75"/>
      <c r="E385" s="131"/>
      <c r="F385" s="90"/>
    </row>
    <row r="386" spans="2:6" x14ac:dyDescent="0.25">
      <c r="B386" s="130"/>
      <c r="C386" s="72"/>
      <c r="D386" s="75"/>
      <c r="E386" s="131"/>
      <c r="F386" s="90"/>
    </row>
    <row r="387" spans="2:6" x14ac:dyDescent="0.25">
      <c r="B387" s="130"/>
      <c r="C387" s="72"/>
      <c r="D387" s="75"/>
      <c r="E387" s="131"/>
      <c r="F387" s="90"/>
    </row>
    <row r="388" spans="2:6" x14ac:dyDescent="0.25">
      <c r="B388" s="130"/>
      <c r="C388" s="72"/>
      <c r="D388" s="75"/>
      <c r="E388" s="131"/>
      <c r="F388" s="90"/>
    </row>
    <row r="389" spans="2:6" x14ac:dyDescent="0.25">
      <c r="B389" s="130"/>
      <c r="C389" s="72"/>
      <c r="D389" s="75"/>
      <c r="E389" s="131"/>
      <c r="F389" s="90"/>
    </row>
    <row r="390" spans="2:6" x14ac:dyDescent="0.25">
      <c r="B390" s="130"/>
      <c r="C390" s="72"/>
      <c r="D390" s="75"/>
      <c r="E390" s="131"/>
      <c r="F390" s="90"/>
    </row>
    <row r="391" spans="2:6" x14ac:dyDescent="0.25">
      <c r="B391" s="130"/>
      <c r="C391" s="72"/>
      <c r="D391" s="75"/>
      <c r="E391" s="131"/>
      <c r="F391" s="90"/>
    </row>
    <row r="392" spans="2:6" x14ac:dyDescent="0.25">
      <c r="B392" s="130"/>
      <c r="C392" s="72"/>
      <c r="D392" s="75"/>
      <c r="E392" s="131"/>
      <c r="F392" s="90"/>
    </row>
    <row r="393" spans="2:6" x14ac:dyDescent="0.25">
      <c r="B393" s="130"/>
      <c r="C393" s="72"/>
      <c r="D393" s="75"/>
      <c r="E393" s="131"/>
      <c r="F393" s="90"/>
    </row>
    <row r="394" spans="2:6" x14ac:dyDescent="0.25">
      <c r="B394" s="130"/>
      <c r="C394" s="72"/>
      <c r="D394" s="75"/>
      <c r="E394" s="131"/>
      <c r="F394" s="90"/>
    </row>
    <row r="395" spans="2:6" x14ac:dyDescent="0.25">
      <c r="B395" s="130"/>
      <c r="C395" s="72"/>
      <c r="D395" s="75"/>
      <c r="E395" s="131"/>
      <c r="F395" s="90"/>
    </row>
    <row r="396" spans="2:6" x14ac:dyDescent="0.25">
      <c r="B396" s="130"/>
      <c r="C396" s="72"/>
      <c r="D396" s="75"/>
      <c r="E396" s="131"/>
      <c r="F396" s="90"/>
    </row>
    <row r="397" spans="2:6" x14ac:dyDescent="0.25">
      <c r="B397" s="130"/>
      <c r="C397" s="72"/>
      <c r="D397" s="75"/>
      <c r="E397" s="131"/>
      <c r="F397" s="90"/>
    </row>
    <row r="398" spans="2:6" x14ac:dyDescent="0.25">
      <c r="B398" s="130"/>
      <c r="C398" s="72"/>
      <c r="D398" s="75"/>
      <c r="E398" s="131"/>
      <c r="F398" s="90"/>
    </row>
    <row r="399" spans="2:6" x14ac:dyDescent="0.25">
      <c r="B399" s="130"/>
      <c r="C399" s="72"/>
      <c r="D399" s="75"/>
      <c r="E399" s="131"/>
      <c r="F399" s="90"/>
    </row>
    <row r="400" spans="2:6" x14ac:dyDescent="0.25">
      <c r="B400" s="130"/>
      <c r="C400" s="72"/>
      <c r="D400" s="75"/>
      <c r="E400" s="131"/>
      <c r="F400" s="90"/>
    </row>
    <row r="401" spans="2:6" x14ac:dyDescent="0.25">
      <c r="B401" s="130"/>
      <c r="C401" s="72"/>
      <c r="D401" s="75"/>
      <c r="E401" s="131"/>
      <c r="F401" s="90"/>
    </row>
    <row r="402" spans="2:6" x14ac:dyDescent="0.25">
      <c r="B402" s="130"/>
      <c r="C402" s="72"/>
      <c r="D402" s="75"/>
      <c r="E402" s="131"/>
      <c r="F402" s="90"/>
    </row>
    <row r="403" spans="2:6" x14ac:dyDescent="0.25">
      <c r="B403" s="130"/>
      <c r="C403" s="72"/>
      <c r="D403" s="75"/>
      <c r="E403" s="131"/>
      <c r="F403" s="90"/>
    </row>
    <row r="404" spans="2:6" x14ac:dyDescent="0.25">
      <c r="B404" s="130"/>
      <c r="C404" s="72"/>
      <c r="D404" s="75"/>
      <c r="E404" s="131"/>
      <c r="F404" s="90"/>
    </row>
    <row r="405" spans="2:6" x14ac:dyDescent="0.25">
      <c r="B405" s="130"/>
      <c r="C405" s="72"/>
      <c r="D405" s="75"/>
      <c r="E405" s="131"/>
      <c r="F405" s="90"/>
    </row>
    <row r="406" spans="2:6" x14ac:dyDescent="0.25">
      <c r="B406" s="130"/>
      <c r="C406" s="72"/>
      <c r="D406" s="75"/>
      <c r="E406" s="131"/>
      <c r="F406" s="90"/>
    </row>
    <row r="407" spans="2:6" x14ac:dyDescent="0.25">
      <c r="B407" s="130"/>
      <c r="C407" s="72"/>
      <c r="D407" s="75"/>
      <c r="E407" s="131"/>
      <c r="F407" s="90"/>
    </row>
    <row r="408" spans="2:6" x14ac:dyDescent="0.25">
      <c r="B408" s="130"/>
      <c r="C408" s="72"/>
      <c r="D408" s="75"/>
      <c r="E408" s="131"/>
      <c r="F408" s="90"/>
    </row>
    <row r="409" spans="2:6" x14ac:dyDescent="0.25">
      <c r="B409" s="130"/>
      <c r="C409" s="72"/>
      <c r="D409" s="75"/>
      <c r="E409" s="131"/>
      <c r="F409" s="90"/>
    </row>
    <row r="410" spans="2:6" x14ac:dyDescent="0.25">
      <c r="B410" s="130"/>
      <c r="C410" s="72"/>
      <c r="D410" s="75"/>
      <c r="E410" s="131"/>
      <c r="F410" s="90"/>
    </row>
    <row r="411" spans="2:6" x14ac:dyDescent="0.25">
      <c r="B411" s="130"/>
      <c r="C411" s="72"/>
      <c r="D411" s="75"/>
      <c r="E411" s="131"/>
      <c r="F411" s="90"/>
    </row>
    <row r="412" spans="2:6" x14ac:dyDescent="0.25">
      <c r="B412" s="130"/>
      <c r="C412" s="72"/>
      <c r="D412" s="75"/>
      <c r="E412" s="131"/>
      <c r="F412" s="90"/>
    </row>
    <row r="413" spans="2:6" x14ac:dyDescent="0.25">
      <c r="B413" s="130"/>
      <c r="C413" s="72"/>
      <c r="D413" s="75"/>
      <c r="E413" s="131"/>
      <c r="F413" s="90"/>
    </row>
    <row r="414" spans="2:6" x14ac:dyDescent="0.25">
      <c r="B414" s="130"/>
      <c r="C414" s="72"/>
      <c r="D414" s="75"/>
      <c r="E414" s="131"/>
      <c r="F414" s="90"/>
    </row>
    <row r="415" spans="2:6" x14ac:dyDescent="0.25">
      <c r="B415" s="130"/>
      <c r="C415" s="72"/>
      <c r="D415" s="75"/>
      <c r="E415" s="131"/>
      <c r="F415" s="90"/>
    </row>
    <row r="416" spans="2:6" x14ac:dyDescent="0.25">
      <c r="B416" s="130"/>
      <c r="C416" s="72"/>
      <c r="D416" s="75"/>
      <c r="E416" s="131"/>
      <c r="F416" s="90"/>
    </row>
    <row r="417" spans="2:6" x14ac:dyDescent="0.25">
      <c r="B417" s="130"/>
      <c r="C417" s="72"/>
      <c r="D417" s="75"/>
      <c r="E417" s="131"/>
      <c r="F417" s="90"/>
    </row>
    <row r="418" spans="2:6" x14ac:dyDescent="0.25">
      <c r="B418" s="130"/>
      <c r="C418" s="72"/>
      <c r="D418" s="75"/>
      <c r="E418" s="131"/>
      <c r="F418" s="90"/>
    </row>
    <row r="419" spans="2:6" x14ac:dyDescent="0.25">
      <c r="B419" s="130"/>
      <c r="C419" s="72"/>
      <c r="D419" s="75"/>
      <c r="E419" s="131"/>
      <c r="F419" s="90"/>
    </row>
    <row r="420" spans="2:6" x14ac:dyDescent="0.25">
      <c r="B420" s="130"/>
      <c r="C420" s="72"/>
      <c r="D420" s="75"/>
      <c r="E420" s="131"/>
      <c r="F420" s="90"/>
    </row>
    <row r="421" spans="2:6" x14ac:dyDescent="0.25">
      <c r="B421" s="130"/>
      <c r="C421" s="72"/>
      <c r="D421" s="75"/>
      <c r="E421" s="131"/>
      <c r="F421" s="90"/>
    </row>
    <row r="422" spans="2:6" x14ac:dyDescent="0.25">
      <c r="B422" s="130"/>
      <c r="C422" s="72"/>
      <c r="D422" s="75"/>
      <c r="E422" s="131"/>
      <c r="F422" s="90"/>
    </row>
    <row r="423" spans="2:6" x14ac:dyDescent="0.25">
      <c r="B423" s="130"/>
      <c r="C423" s="72"/>
      <c r="D423" s="75"/>
      <c r="E423" s="131"/>
      <c r="F423" s="90"/>
    </row>
    <row r="424" spans="2:6" x14ac:dyDescent="0.25">
      <c r="B424" s="130"/>
      <c r="C424" s="72"/>
      <c r="D424" s="75"/>
      <c r="E424" s="131"/>
      <c r="F424" s="90"/>
    </row>
    <row r="425" spans="2:6" x14ac:dyDescent="0.25">
      <c r="B425" s="130"/>
      <c r="C425" s="72"/>
      <c r="D425" s="75"/>
      <c r="E425" s="131"/>
      <c r="F425" s="90"/>
    </row>
    <row r="426" spans="2:6" x14ac:dyDescent="0.25">
      <c r="B426" s="130"/>
      <c r="C426" s="72"/>
      <c r="D426" s="75"/>
      <c r="E426" s="131"/>
      <c r="F426" s="90"/>
    </row>
    <row r="427" spans="2:6" x14ac:dyDescent="0.25">
      <c r="B427" s="130"/>
      <c r="C427" s="72"/>
      <c r="D427" s="75"/>
      <c r="E427" s="131"/>
      <c r="F427" s="90"/>
    </row>
    <row r="428" spans="2:6" x14ac:dyDescent="0.25">
      <c r="B428" s="130"/>
      <c r="C428" s="72"/>
      <c r="D428" s="75"/>
      <c r="E428" s="131"/>
      <c r="F428" s="90"/>
    </row>
    <row r="429" spans="2:6" x14ac:dyDescent="0.25">
      <c r="B429" s="130"/>
      <c r="C429" s="72"/>
      <c r="D429" s="75"/>
      <c r="E429" s="131"/>
      <c r="F429" s="90"/>
    </row>
    <row r="430" spans="2:6" x14ac:dyDescent="0.25">
      <c r="B430" s="130"/>
      <c r="C430" s="72"/>
      <c r="D430" s="75"/>
      <c r="E430" s="131"/>
      <c r="F430" s="90"/>
    </row>
    <row r="431" spans="2:6" x14ac:dyDescent="0.25">
      <c r="B431" s="130"/>
      <c r="C431" s="72"/>
      <c r="D431" s="75"/>
      <c r="E431" s="131"/>
      <c r="F431" s="90"/>
    </row>
    <row r="432" spans="2:6" x14ac:dyDescent="0.25">
      <c r="B432" s="130"/>
      <c r="C432" s="72"/>
      <c r="D432" s="75"/>
      <c r="E432" s="131"/>
      <c r="F432" s="90"/>
    </row>
    <row r="433" spans="2:6" x14ac:dyDescent="0.25">
      <c r="B433" s="130"/>
      <c r="C433" s="72"/>
      <c r="D433" s="75"/>
      <c r="E433" s="131"/>
      <c r="F433" s="90"/>
    </row>
    <row r="434" spans="2:6" x14ac:dyDescent="0.25">
      <c r="B434" s="130"/>
      <c r="C434" s="72"/>
      <c r="D434" s="75"/>
      <c r="E434" s="131"/>
      <c r="F434" s="90"/>
    </row>
    <row r="435" spans="2:6" x14ac:dyDescent="0.25">
      <c r="B435" s="130"/>
      <c r="C435" s="72"/>
      <c r="D435" s="75"/>
      <c r="E435" s="131"/>
      <c r="F435" s="90"/>
    </row>
    <row r="436" spans="2:6" x14ac:dyDescent="0.25">
      <c r="B436" s="130"/>
      <c r="C436" s="72"/>
      <c r="D436" s="75"/>
      <c r="E436" s="131"/>
      <c r="F436" s="90"/>
    </row>
    <row r="437" spans="2:6" x14ac:dyDescent="0.25">
      <c r="B437" s="130"/>
      <c r="C437" s="72"/>
      <c r="D437" s="75"/>
      <c r="E437" s="131"/>
      <c r="F437" s="90"/>
    </row>
    <row r="438" spans="2:6" x14ac:dyDescent="0.25">
      <c r="B438" s="130"/>
      <c r="C438" s="72"/>
      <c r="D438" s="75"/>
      <c r="E438" s="131"/>
      <c r="F438" s="90"/>
    </row>
    <row r="439" spans="2:6" x14ac:dyDescent="0.25">
      <c r="B439" s="130"/>
      <c r="C439" s="72"/>
      <c r="D439" s="75"/>
      <c r="E439" s="131"/>
      <c r="F439" s="90"/>
    </row>
    <row r="440" spans="2:6" x14ac:dyDescent="0.25">
      <c r="B440" s="130"/>
      <c r="C440" s="72"/>
      <c r="D440" s="75"/>
      <c r="E440" s="131"/>
      <c r="F440" s="90"/>
    </row>
    <row r="441" spans="2:6" x14ac:dyDescent="0.25">
      <c r="B441" s="130"/>
      <c r="C441" s="72"/>
      <c r="D441" s="75"/>
      <c r="E441" s="131"/>
      <c r="F441" s="90"/>
    </row>
    <row r="442" spans="2:6" x14ac:dyDescent="0.25">
      <c r="B442" s="130"/>
      <c r="C442" s="72"/>
      <c r="D442" s="75"/>
      <c r="E442" s="131"/>
      <c r="F442" s="90"/>
    </row>
    <row r="443" spans="2:6" x14ac:dyDescent="0.25">
      <c r="B443" s="130"/>
      <c r="C443" s="72"/>
      <c r="D443" s="75"/>
      <c r="E443" s="131"/>
      <c r="F443" s="90"/>
    </row>
    <row r="444" spans="2:6" x14ac:dyDescent="0.25">
      <c r="B444" s="130"/>
      <c r="C444" s="72"/>
      <c r="D444" s="75"/>
      <c r="E444" s="131"/>
      <c r="F444" s="90"/>
    </row>
    <row r="445" spans="2:6" x14ac:dyDescent="0.25">
      <c r="B445" s="130"/>
      <c r="C445" s="72"/>
      <c r="D445" s="75"/>
      <c r="E445" s="131"/>
      <c r="F445" s="90"/>
    </row>
    <row r="446" spans="2:6" x14ac:dyDescent="0.25">
      <c r="B446" s="130"/>
      <c r="C446" s="72"/>
      <c r="D446" s="75"/>
      <c r="E446" s="131"/>
      <c r="F446" s="90"/>
    </row>
    <row r="447" spans="2:6" x14ac:dyDescent="0.25">
      <c r="B447" s="130"/>
      <c r="C447" s="72"/>
      <c r="D447" s="75"/>
      <c r="E447" s="131"/>
      <c r="F447" s="90"/>
    </row>
    <row r="448" spans="2:6" x14ac:dyDescent="0.25">
      <c r="B448" s="130"/>
      <c r="C448" s="72"/>
      <c r="D448" s="75"/>
      <c r="E448" s="131"/>
      <c r="F448" s="90"/>
    </row>
    <row r="449" spans="2:6" x14ac:dyDescent="0.25">
      <c r="B449" s="130"/>
      <c r="C449" s="72"/>
      <c r="D449" s="75"/>
      <c r="E449" s="131"/>
      <c r="F449" s="90"/>
    </row>
    <row r="450" spans="2:6" x14ac:dyDescent="0.25">
      <c r="B450" s="130"/>
      <c r="C450" s="72"/>
      <c r="D450" s="75"/>
      <c r="E450" s="131"/>
      <c r="F450" s="90"/>
    </row>
    <row r="451" spans="2:6" x14ac:dyDescent="0.25">
      <c r="B451" s="130"/>
      <c r="C451" s="72"/>
      <c r="D451" s="75"/>
      <c r="E451" s="131"/>
      <c r="F451" s="90"/>
    </row>
    <row r="452" spans="2:6" x14ac:dyDescent="0.25">
      <c r="B452" s="130"/>
      <c r="C452" s="72"/>
      <c r="D452" s="75"/>
      <c r="E452" s="131"/>
      <c r="F452" s="90"/>
    </row>
    <row r="453" spans="2:6" x14ac:dyDescent="0.25">
      <c r="B453" s="130"/>
      <c r="C453" s="72"/>
      <c r="D453" s="75"/>
      <c r="E453" s="131"/>
      <c r="F453" s="90"/>
    </row>
    <row r="454" spans="2:6" x14ac:dyDescent="0.25">
      <c r="B454" s="130"/>
      <c r="C454" s="72"/>
      <c r="D454" s="75"/>
      <c r="E454" s="131"/>
      <c r="F454" s="90"/>
    </row>
    <row r="455" spans="2:6" x14ac:dyDescent="0.25">
      <c r="B455" s="130"/>
      <c r="C455" s="72"/>
      <c r="D455" s="75"/>
      <c r="E455" s="131"/>
      <c r="F455" s="90"/>
    </row>
    <row r="456" spans="2:6" x14ac:dyDescent="0.25">
      <c r="B456" s="130"/>
      <c r="C456" s="72"/>
      <c r="D456" s="75"/>
      <c r="E456" s="131"/>
      <c r="F456" s="90"/>
    </row>
    <row r="457" spans="2:6" x14ac:dyDescent="0.25">
      <c r="B457" s="130"/>
      <c r="C457" s="72"/>
      <c r="D457" s="75"/>
      <c r="E457" s="131"/>
      <c r="F457" s="90"/>
    </row>
    <row r="458" spans="2:6" x14ac:dyDescent="0.25">
      <c r="B458" s="130"/>
      <c r="C458" s="72"/>
      <c r="D458" s="75"/>
      <c r="E458" s="131"/>
      <c r="F458" s="90"/>
    </row>
    <row r="459" spans="2:6" x14ac:dyDescent="0.25">
      <c r="B459" s="130"/>
      <c r="C459" s="72"/>
      <c r="D459" s="75"/>
      <c r="E459" s="131"/>
      <c r="F459" s="90"/>
    </row>
    <row r="460" spans="2:6" x14ac:dyDescent="0.25">
      <c r="B460" s="130"/>
      <c r="C460" s="72"/>
      <c r="D460" s="75"/>
      <c r="E460" s="131"/>
      <c r="F460" s="90"/>
    </row>
    <row r="461" spans="2:6" x14ac:dyDescent="0.25">
      <c r="B461" s="130"/>
      <c r="C461" s="72"/>
      <c r="D461" s="75"/>
      <c r="E461" s="131"/>
      <c r="F461" s="90"/>
    </row>
    <row r="462" spans="2:6" x14ac:dyDescent="0.25">
      <c r="B462" s="130"/>
      <c r="C462" s="72"/>
      <c r="D462" s="75"/>
      <c r="E462" s="131"/>
      <c r="F462" s="90"/>
    </row>
    <row r="463" spans="2:6" x14ac:dyDescent="0.25">
      <c r="B463" s="130"/>
      <c r="C463" s="72"/>
      <c r="D463" s="75"/>
      <c r="E463" s="131"/>
      <c r="F463" s="90"/>
    </row>
    <row r="464" spans="2:6" x14ac:dyDescent="0.25">
      <c r="B464" s="130"/>
      <c r="C464" s="72"/>
      <c r="D464" s="75"/>
      <c r="E464" s="131"/>
      <c r="F464" s="90"/>
    </row>
    <row r="465" spans="2:6" x14ac:dyDescent="0.25">
      <c r="B465" s="130"/>
      <c r="C465" s="72"/>
      <c r="D465" s="75"/>
      <c r="E465" s="131"/>
      <c r="F465" s="90"/>
    </row>
    <row r="466" spans="2:6" x14ac:dyDescent="0.25">
      <c r="B466" s="130"/>
      <c r="C466" s="72"/>
      <c r="D466" s="75"/>
      <c r="E466" s="131"/>
      <c r="F466" s="90"/>
    </row>
    <row r="467" spans="2:6" x14ac:dyDescent="0.25">
      <c r="B467" s="130"/>
      <c r="C467" s="72"/>
      <c r="D467" s="75"/>
      <c r="E467" s="131"/>
      <c r="F467" s="90"/>
    </row>
    <row r="468" spans="2:6" x14ac:dyDescent="0.25">
      <c r="B468" s="130"/>
      <c r="C468" s="72"/>
      <c r="D468" s="75"/>
      <c r="E468" s="131"/>
      <c r="F468" s="90"/>
    </row>
    <row r="469" spans="2:6" x14ac:dyDescent="0.25">
      <c r="B469" s="130"/>
      <c r="C469" s="72"/>
      <c r="D469" s="75"/>
      <c r="E469" s="131"/>
      <c r="F469" s="90"/>
    </row>
    <row r="470" spans="2:6" x14ac:dyDescent="0.25">
      <c r="B470" s="130"/>
      <c r="C470" s="72"/>
      <c r="D470" s="75"/>
      <c r="E470" s="131"/>
      <c r="F470" s="90"/>
    </row>
    <row r="471" spans="2:6" x14ac:dyDescent="0.25">
      <c r="B471" s="130"/>
      <c r="C471" s="72"/>
      <c r="D471" s="75"/>
      <c r="E471" s="131"/>
      <c r="F471" s="90"/>
    </row>
    <row r="472" spans="2:6" x14ac:dyDescent="0.25">
      <c r="B472" s="130"/>
      <c r="C472" s="72"/>
      <c r="D472" s="75"/>
      <c r="E472" s="131"/>
      <c r="F472" s="90"/>
    </row>
    <row r="473" spans="2:6" x14ac:dyDescent="0.25">
      <c r="B473" s="130"/>
      <c r="C473" s="72"/>
      <c r="D473" s="75"/>
      <c r="E473" s="131"/>
      <c r="F473" s="90"/>
    </row>
    <row r="474" spans="2:6" x14ac:dyDescent="0.25">
      <c r="B474" s="130"/>
      <c r="C474" s="72"/>
      <c r="D474" s="75"/>
      <c r="E474" s="131"/>
      <c r="F474" s="90"/>
    </row>
    <row r="475" spans="2:6" x14ac:dyDescent="0.25">
      <c r="B475" s="130"/>
      <c r="C475" s="72"/>
      <c r="D475" s="75"/>
      <c r="E475" s="131"/>
      <c r="F475" s="90"/>
    </row>
    <row r="476" spans="2:6" x14ac:dyDescent="0.25">
      <c r="B476" s="130"/>
      <c r="C476" s="72"/>
      <c r="D476" s="75"/>
      <c r="E476" s="131"/>
      <c r="F476" s="90"/>
    </row>
    <row r="477" spans="2:6" x14ac:dyDescent="0.25">
      <c r="B477" s="130"/>
      <c r="C477" s="72"/>
      <c r="D477" s="75"/>
      <c r="E477" s="131"/>
      <c r="F477" s="90"/>
    </row>
    <row r="478" spans="2:6" x14ac:dyDescent="0.25">
      <c r="B478" s="130"/>
      <c r="C478" s="72"/>
      <c r="D478" s="75"/>
      <c r="E478" s="131"/>
      <c r="F478" s="90"/>
    </row>
    <row r="479" spans="2:6" x14ac:dyDescent="0.25">
      <c r="B479" s="130"/>
      <c r="C479" s="72"/>
      <c r="D479" s="75"/>
      <c r="E479" s="131"/>
      <c r="F479" s="90"/>
    </row>
    <row r="480" spans="2:6" x14ac:dyDescent="0.25">
      <c r="B480" s="130"/>
      <c r="C480" s="72"/>
      <c r="D480" s="75"/>
      <c r="E480" s="131"/>
      <c r="F480" s="90"/>
    </row>
    <row r="481" spans="2:6" x14ac:dyDescent="0.25">
      <c r="B481" s="130"/>
      <c r="C481" s="72"/>
      <c r="D481" s="75"/>
      <c r="E481" s="131"/>
      <c r="F481" s="90"/>
    </row>
    <row r="482" spans="2:6" x14ac:dyDescent="0.25">
      <c r="B482" s="130"/>
      <c r="C482" s="72"/>
      <c r="D482" s="75"/>
      <c r="E482" s="131"/>
      <c r="F482" s="90"/>
    </row>
    <row r="483" spans="2:6" x14ac:dyDescent="0.25">
      <c r="B483" s="130"/>
      <c r="C483" s="72"/>
      <c r="D483" s="75"/>
      <c r="E483" s="131"/>
      <c r="F483" s="90"/>
    </row>
    <row r="484" spans="2:6" x14ac:dyDescent="0.25">
      <c r="B484" s="130"/>
      <c r="C484" s="72"/>
      <c r="D484" s="75"/>
      <c r="E484" s="131"/>
      <c r="F484" s="90"/>
    </row>
    <row r="485" spans="2:6" x14ac:dyDescent="0.25">
      <c r="B485" s="130"/>
      <c r="C485" s="72"/>
      <c r="D485" s="75"/>
      <c r="E485" s="131"/>
      <c r="F485" s="90"/>
    </row>
    <row r="486" spans="2:6" x14ac:dyDescent="0.25">
      <c r="B486" s="130"/>
      <c r="C486" s="72"/>
      <c r="D486" s="75"/>
      <c r="E486" s="131"/>
      <c r="F486" s="90"/>
    </row>
    <row r="487" spans="2:6" x14ac:dyDescent="0.25">
      <c r="B487" s="130"/>
      <c r="C487" s="72"/>
      <c r="D487" s="75"/>
      <c r="E487" s="131"/>
      <c r="F487" s="90"/>
    </row>
    <row r="488" spans="2:6" x14ac:dyDescent="0.25">
      <c r="B488" s="130"/>
      <c r="C488" s="72"/>
      <c r="D488" s="75"/>
      <c r="E488" s="131"/>
      <c r="F488" s="90"/>
    </row>
    <row r="489" spans="2:6" x14ac:dyDescent="0.25">
      <c r="B489" s="130"/>
      <c r="C489" s="72"/>
      <c r="D489" s="75"/>
      <c r="E489" s="131"/>
      <c r="F489" s="90"/>
    </row>
    <row r="490" spans="2:6" x14ac:dyDescent="0.25">
      <c r="B490" s="130"/>
      <c r="C490" s="72"/>
      <c r="D490" s="75"/>
      <c r="E490" s="131"/>
      <c r="F490" s="90"/>
    </row>
    <row r="491" spans="2:6" x14ac:dyDescent="0.25">
      <c r="B491" s="130"/>
      <c r="C491" s="72"/>
      <c r="D491" s="75"/>
      <c r="E491" s="131"/>
      <c r="F491" s="90"/>
    </row>
    <row r="492" spans="2:6" x14ac:dyDescent="0.25">
      <c r="B492" s="130"/>
      <c r="C492" s="72"/>
      <c r="D492" s="75"/>
      <c r="E492" s="131"/>
      <c r="F492" s="90"/>
    </row>
    <row r="493" spans="2:6" x14ac:dyDescent="0.25">
      <c r="B493" s="130"/>
      <c r="C493" s="72"/>
      <c r="D493" s="75"/>
      <c r="E493" s="131"/>
      <c r="F493" s="90"/>
    </row>
    <row r="494" spans="2:6" x14ac:dyDescent="0.25">
      <c r="B494" s="130"/>
      <c r="C494" s="72"/>
      <c r="D494" s="75"/>
      <c r="E494" s="131"/>
      <c r="F494" s="90"/>
    </row>
    <row r="495" spans="2:6" x14ac:dyDescent="0.25">
      <c r="B495" s="130"/>
      <c r="C495" s="72"/>
      <c r="D495" s="75"/>
      <c r="E495" s="131"/>
      <c r="F495" s="90"/>
    </row>
    <row r="496" spans="2:6" x14ac:dyDescent="0.25">
      <c r="B496" s="130"/>
      <c r="C496" s="72"/>
      <c r="D496" s="75"/>
      <c r="E496" s="131"/>
      <c r="F496" s="90"/>
    </row>
    <row r="497" spans="2:6" x14ac:dyDescent="0.25">
      <c r="B497" s="130"/>
      <c r="C497" s="72"/>
      <c r="D497" s="75"/>
      <c r="E497" s="131"/>
      <c r="F497" s="90"/>
    </row>
    <row r="498" spans="2:6" x14ac:dyDescent="0.25">
      <c r="B498" s="130"/>
      <c r="C498" s="72"/>
      <c r="D498" s="75"/>
      <c r="E498" s="131"/>
      <c r="F498" s="90"/>
    </row>
    <row r="499" spans="2:6" x14ac:dyDescent="0.25">
      <c r="B499" s="130"/>
      <c r="C499" s="72"/>
      <c r="D499" s="75"/>
      <c r="E499" s="131"/>
      <c r="F499" s="90"/>
    </row>
    <row r="500" spans="2:6" x14ac:dyDescent="0.25">
      <c r="B500" s="130"/>
      <c r="C500" s="72"/>
      <c r="D500" s="75"/>
      <c r="E500" s="131"/>
      <c r="F500" s="90"/>
    </row>
    <row r="501" spans="2:6" x14ac:dyDescent="0.25">
      <c r="B501" s="130"/>
      <c r="C501" s="72"/>
      <c r="D501" s="75"/>
      <c r="E501" s="131"/>
      <c r="F501" s="90"/>
    </row>
    <row r="502" spans="2:6" x14ac:dyDescent="0.25">
      <c r="B502" s="130"/>
      <c r="C502" s="72"/>
      <c r="D502" s="75"/>
      <c r="E502" s="131"/>
      <c r="F502" s="90"/>
    </row>
    <row r="503" spans="2:6" x14ac:dyDescent="0.25">
      <c r="B503" s="130"/>
      <c r="C503" s="72"/>
      <c r="D503" s="75"/>
      <c r="E503" s="131"/>
      <c r="F503" s="90"/>
    </row>
    <row r="504" spans="2:6" x14ac:dyDescent="0.25">
      <c r="B504" s="130"/>
      <c r="C504" s="72"/>
      <c r="D504" s="75"/>
      <c r="E504" s="131"/>
      <c r="F504" s="90"/>
    </row>
    <row r="505" spans="2:6" x14ac:dyDescent="0.25">
      <c r="B505" s="130"/>
      <c r="C505" s="72"/>
      <c r="D505" s="75"/>
      <c r="E505" s="131"/>
      <c r="F505" s="90"/>
    </row>
    <row r="506" spans="2:6" x14ac:dyDescent="0.25">
      <c r="B506" s="130"/>
      <c r="C506" s="72"/>
      <c r="D506" s="75"/>
      <c r="E506" s="131"/>
      <c r="F506" s="90"/>
    </row>
    <row r="507" spans="2:6" x14ac:dyDescent="0.25">
      <c r="B507" s="130"/>
      <c r="C507" s="72"/>
      <c r="D507" s="75"/>
      <c r="E507" s="131"/>
      <c r="F507" s="90"/>
    </row>
    <row r="508" spans="2:6" x14ac:dyDescent="0.25">
      <c r="B508" s="130"/>
      <c r="C508" s="72"/>
      <c r="D508" s="75"/>
      <c r="E508" s="131"/>
      <c r="F508" s="90"/>
    </row>
    <row r="509" spans="2:6" x14ac:dyDescent="0.25">
      <c r="B509" s="130"/>
      <c r="C509" s="72"/>
      <c r="D509" s="75"/>
      <c r="E509" s="131"/>
      <c r="F509" s="90"/>
    </row>
    <row r="510" spans="2:6" x14ac:dyDescent="0.25">
      <c r="B510" s="130"/>
      <c r="C510" s="72"/>
      <c r="D510" s="75"/>
      <c r="E510" s="131"/>
      <c r="F510" s="90"/>
    </row>
    <row r="511" spans="2:6" x14ac:dyDescent="0.25">
      <c r="B511" s="130"/>
      <c r="C511" s="72"/>
      <c r="D511" s="75"/>
      <c r="E511" s="131"/>
      <c r="F511" s="90"/>
    </row>
    <row r="512" spans="2:6" x14ac:dyDescent="0.25">
      <c r="B512" s="130"/>
      <c r="C512" s="72"/>
      <c r="D512" s="75"/>
      <c r="E512" s="131"/>
      <c r="F512" s="90"/>
    </row>
    <row r="513" spans="2:6" x14ac:dyDescent="0.25">
      <c r="B513" s="130"/>
      <c r="C513" s="72"/>
      <c r="D513" s="75"/>
      <c r="E513" s="131"/>
      <c r="F513" s="90"/>
    </row>
    <row r="514" spans="2:6" x14ac:dyDescent="0.25">
      <c r="B514" s="130"/>
      <c r="C514" s="72"/>
      <c r="D514" s="75"/>
      <c r="E514" s="131"/>
      <c r="F514" s="90"/>
    </row>
    <row r="515" spans="2:6" x14ac:dyDescent="0.25">
      <c r="B515" s="130"/>
      <c r="C515" s="72"/>
      <c r="D515" s="75"/>
      <c r="E515" s="131"/>
      <c r="F515" s="90"/>
    </row>
    <row r="516" spans="2:6" x14ac:dyDescent="0.25">
      <c r="B516" s="130"/>
      <c r="C516" s="72"/>
      <c r="D516" s="75"/>
      <c r="E516" s="131"/>
      <c r="F516" s="90"/>
    </row>
    <row r="517" spans="2:6" x14ac:dyDescent="0.25">
      <c r="B517" s="130"/>
      <c r="C517" s="72"/>
      <c r="D517" s="75"/>
      <c r="E517" s="131"/>
      <c r="F517" s="90"/>
    </row>
    <row r="518" spans="2:6" x14ac:dyDescent="0.25">
      <c r="B518" s="130"/>
      <c r="C518" s="72"/>
      <c r="D518" s="75"/>
      <c r="E518" s="131"/>
      <c r="F518" s="90"/>
    </row>
    <row r="519" spans="2:6" x14ac:dyDescent="0.25">
      <c r="B519" s="130"/>
      <c r="C519" s="72"/>
      <c r="D519" s="75"/>
      <c r="E519" s="131"/>
      <c r="F519" s="90"/>
    </row>
    <row r="520" spans="2:6" x14ac:dyDescent="0.25">
      <c r="B520" s="130"/>
      <c r="C520" s="72"/>
      <c r="D520" s="75"/>
      <c r="E520" s="131"/>
      <c r="F520" s="90"/>
    </row>
    <row r="521" spans="2:6" x14ac:dyDescent="0.25">
      <c r="B521" s="130"/>
      <c r="C521" s="72"/>
      <c r="D521" s="75"/>
      <c r="E521" s="131"/>
      <c r="F521" s="90"/>
    </row>
    <row r="522" spans="2:6" x14ac:dyDescent="0.25">
      <c r="B522" s="130"/>
      <c r="C522" s="72"/>
      <c r="D522" s="75"/>
      <c r="E522" s="131"/>
      <c r="F522" s="90"/>
    </row>
    <row r="523" spans="2:6" x14ac:dyDescent="0.25">
      <c r="B523" s="130"/>
      <c r="C523" s="72"/>
      <c r="D523" s="75"/>
      <c r="E523" s="131"/>
      <c r="F523" s="90"/>
    </row>
    <row r="524" spans="2:6" x14ac:dyDescent="0.25">
      <c r="B524" s="130"/>
      <c r="C524" s="72"/>
      <c r="D524" s="75"/>
      <c r="E524" s="131"/>
      <c r="F524" s="90"/>
    </row>
    <row r="525" spans="2:6" x14ac:dyDescent="0.25">
      <c r="B525" s="130"/>
      <c r="C525" s="72"/>
      <c r="D525" s="75"/>
      <c r="E525" s="131"/>
      <c r="F525" s="90"/>
    </row>
    <row r="526" spans="2:6" x14ac:dyDescent="0.25">
      <c r="B526" s="130"/>
      <c r="C526" s="72"/>
      <c r="D526" s="75"/>
      <c r="E526" s="131"/>
      <c r="F526" s="90"/>
    </row>
    <row r="527" spans="2:6" x14ac:dyDescent="0.25">
      <c r="B527" s="130"/>
      <c r="C527" s="72"/>
      <c r="D527" s="75"/>
      <c r="E527" s="131"/>
      <c r="F527" s="90"/>
    </row>
    <row r="528" spans="2:6" x14ac:dyDescent="0.25">
      <c r="B528" s="130"/>
      <c r="C528" s="72"/>
      <c r="D528" s="75"/>
      <c r="E528" s="131"/>
      <c r="F528" s="90"/>
    </row>
    <row r="529" spans="2:6" x14ac:dyDescent="0.25">
      <c r="B529" s="130"/>
      <c r="C529" s="72"/>
      <c r="D529" s="75"/>
      <c r="E529" s="131"/>
      <c r="F529" s="90"/>
    </row>
    <row r="530" spans="2:6" x14ac:dyDescent="0.25">
      <c r="B530" s="130"/>
      <c r="C530" s="72"/>
      <c r="D530" s="75"/>
      <c r="E530" s="131"/>
      <c r="F530" s="90"/>
    </row>
    <row r="531" spans="2:6" x14ac:dyDescent="0.25">
      <c r="B531" s="130"/>
      <c r="C531" s="72"/>
      <c r="D531" s="75"/>
      <c r="E531" s="131"/>
      <c r="F531" s="90"/>
    </row>
    <row r="532" spans="2:6" x14ac:dyDescent="0.25">
      <c r="B532" s="130"/>
      <c r="C532" s="72"/>
      <c r="D532" s="75"/>
      <c r="E532" s="131"/>
      <c r="F532" s="90"/>
    </row>
    <row r="533" spans="2:6" x14ac:dyDescent="0.25">
      <c r="B533" s="130"/>
      <c r="C533" s="72"/>
      <c r="D533" s="75"/>
      <c r="E533" s="131"/>
      <c r="F533" s="90"/>
    </row>
    <row r="534" spans="2:6" x14ac:dyDescent="0.25">
      <c r="B534" s="130"/>
      <c r="C534" s="72"/>
      <c r="D534" s="75"/>
      <c r="E534" s="131"/>
      <c r="F534" s="90"/>
    </row>
    <row r="535" spans="2:6" x14ac:dyDescent="0.25">
      <c r="B535" s="130"/>
      <c r="C535" s="72"/>
      <c r="D535" s="75"/>
      <c r="E535" s="131"/>
      <c r="F535" s="90"/>
    </row>
    <row r="536" spans="2:6" x14ac:dyDescent="0.25">
      <c r="B536" s="130"/>
      <c r="C536" s="72"/>
      <c r="D536" s="75"/>
      <c r="E536" s="131"/>
      <c r="F536" s="90"/>
    </row>
    <row r="537" spans="2:6" x14ac:dyDescent="0.25">
      <c r="B537" s="130"/>
      <c r="C537" s="72"/>
      <c r="D537" s="75"/>
      <c r="E537" s="131"/>
      <c r="F537" s="90"/>
    </row>
    <row r="538" spans="2:6" x14ac:dyDescent="0.25">
      <c r="B538" s="130"/>
      <c r="C538" s="72"/>
      <c r="D538" s="75"/>
      <c r="E538" s="131"/>
      <c r="F538" s="90"/>
    </row>
    <row r="539" spans="2:6" x14ac:dyDescent="0.25">
      <c r="B539" s="130"/>
      <c r="C539" s="72"/>
      <c r="D539" s="75"/>
      <c r="E539" s="131"/>
      <c r="F539" s="90"/>
    </row>
    <row r="540" spans="2:6" x14ac:dyDescent="0.25">
      <c r="B540" s="130"/>
      <c r="C540" s="72"/>
      <c r="D540" s="75"/>
      <c r="E540" s="131"/>
      <c r="F540" s="90"/>
    </row>
    <row r="541" spans="2:6" x14ac:dyDescent="0.25">
      <c r="B541" s="130"/>
      <c r="C541" s="72"/>
      <c r="D541" s="75"/>
      <c r="E541" s="131"/>
      <c r="F541" s="90"/>
    </row>
    <row r="542" spans="2:6" x14ac:dyDescent="0.25">
      <c r="B542" s="130"/>
      <c r="C542" s="72"/>
      <c r="D542" s="75"/>
      <c r="E542" s="131"/>
      <c r="F542" s="90"/>
    </row>
    <row r="543" spans="2:6" x14ac:dyDescent="0.25">
      <c r="B543" s="130"/>
      <c r="C543" s="72"/>
      <c r="D543" s="75"/>
      <c r="E543" s="131"/>
      <c r="F543" s="90"/>
    </row>
    <row r="544" spans="2:6" x14ac:dyDescent="0.25">
      <c r="B544" s="130"/>
      <c r="C544" s="72"/>
      <c r="D544" s="75"/>
      <c r="E544" s="131"/>
      <c r="F544" s="90"/>
    </row>
    <row r="545" spans="2:6" x14ac:dyDescent="0.25">
      <c r="B545" s="130"/>
      <c r="C545" s="72"/>
      <c r="D545" s="75"/>
      <c r="E545" s="131"/>
      <c r="F545" s="90"/>
    </row>
    <row r="546" spans="2:6" x14ac:dyDescent="0.25">
      <c r="B546" s="130"/>
      <c r="C546" s="72"/>
      <c r="D546" s="75"/>
      <c r="E546" s="131"/>
      <c r="F546" s="90"/>
    </row>
    <row r="547" spans="2:6" x14ac:dyDescent="0.25">
      <c r="B547" s="130"/>
      <c r="C547" s="72"/>
      <c r="D547" s="75"/>
      <c r="E547" s="131"/>
      <c r="F547" s="90"/>
    </row>
    <row r="548" spans="2:6" x14ac:dyDescent="0.25">
      <c r="B548" s="130"/>
      <c r="C548" s="72"/>
      <c r="D548" s="75"/>
      <c r="E548" s="131"/>
      <c r="F548" s="90"/>
    </row>
    <row r="549" spans="2:6" x14ac:dyDescent="0.25">
      <c r="B549" s="130"/>
      <c r="C549" s="72"/>
      <c r="D549" s="75"/>
      <c r="E549" s="131"/>
      <c r="F549" s="90"/>
    </row>
    <row r="550" spans="2:6" x14ac:dyDescent="0.25">
      <c r="B550" s="130"/>
      <c r="C550" s="72"/>
      <c r="D550" s="75"/>
      <c r="E550" s="131"/>
      <c r="F550" s="90"/>
    </row>
    <row r="551" spans="2:6" x14ac:dyDescent="0.25">
      <c r="B551" s="130"/>
      <c r="C551" s="72"/>
      <c r="D551" s="75"/>
      <c r="E551" s="131"/>
      <c r="F551" s="90"/>
    </row>
    <row r="552" spans="2:6" x14ac:dyDescent="0.25">
      <c r="B552" s="130"/>
      <c r="C552" s="72"/>
      <c r="D552" s="75"/>
      <c r="E552" s="131"/>
      <c r="F552" s="90"/>
    </row>
    <row r="553" spans="2:6" x14ac:dyDescent="0.25">
      <c r="B553" s="130"/>
      <c r="C553" s="72"/>
      <c r="D553" s="75"/>
      <c r="E553" s="131"/>
      <c r="F553" s="90"/>
    </row>
    <row r="554" spans="2:6" x14ac:dyDescent="0.25">
      <c r="B554" s="130"/>
      <c r="C554" s="72"/>
      <c r="D554" s="75"/>
      <c r="E554" s="131"/>
      <c r="F554" s="90"/>
    </row>
    <row r="555" spans="2:6" x14ac:dyDescent="0.25">
      <c r="B555" s="130"/>
      <c r="C555" s="72"/>
      <c r="D555" s="75"/>
      <c r="E555" s="131"/>
      <c r="F555" s="90"/>
    </row>
    <row r="556" spans="2:6" x14ac:dyDescent="0.25">
      <c r="B556" s="130"/>
      <c r="C556" s="72"/>
      <c r="D556" s="75"/>
      <c r="E556" s="131"/>
      <c r="F556" s="90"/>
    </row>
    <row r="557" spans="2:6" x14ac:dyDescent="0.25">
      <c r="B557" s="130"/>
      <c r="C557" s="72"/>
      <c r="D557" s="75"/>
      <c r="E557" s="131"/>
      <c r="F557" s="90"/>
    </row>
    <row r="558" spans="2:6" x14ac:dyDescent="0.25">
      <c r="B558" s="130"/>
      <c r="C558" s="72"/>
      <c r="D558" s="75"/>
      <c r="E558" s="131"/>
      <c r="F558" s="90"/>
    </row>
    <row r="559" spans="2:6" x14ac:dyDescent="0.25">
      <c r="B559" s="130"/>
      <c r="C559" s="72"/>
      <c r="D559" s="75"/>
      <c r="E559" s="131"/>
      <c r="F559" s="90"/>
    </row>
    <row r="560" spans="2:6" x14ac:dyDescent="0.25">
      <c r="B560" s="130"/>
      <c r="C560" s="72"/>
      <c r="D560" s="75"/>
      <c r="E560" s="131"/>
      <c r="F560" s="90"/>
    </row>
    <row r="561" spans="2:6" x14ac:dyDescent="0.25">
      <c r="B561" s="130"/>
      <c r="C561" s="72"/>
      <c r="D561" s="75"/>
      <c r="E561" s="131"/>
      <c r="F561" s="90"/>
    </row>
    <row r="562" spans="2:6" x14ac:dyDescent="0.25">
      <c r="B562" s="130"/>
      <c r="C562" s="72"/>
      <c r="D562" s="75"/>
      <c r="E562" s="131"/>
      <c r="F562" s="90"/>
    </row>
    <row r="563" spans="2:6" x14ac:dyDescent="0.25">
      <c r="B563" s="130"/>
      <c r="C563" s="72"/>
      <c r="D563" s="75"/>
      <c r="E563" s="131"/>
      <c r="F563" s="90"/>
    </row>
    <row r="564" spans="2:6" x14ac:dyDescent="0.25">
      <c r="B564" s="130"/>
      <c r="C564" s="72"/>
      <c r="D564" s="75"/>
      <c r="E564" s="131"/>
      <c r="F564" s="90"/>
    </row>
    <row r="565" spans="2:6" x14ac:dyDescent="0.25">
      <c r="B565" s="130"/>
      <c r="C565" s="72"/>
      <c r="D565" s="75"/>
      <c r="E565" s="131"/>
      <c r="F565" s="90"/>
    </row>
    <row r="566" spans="2:6" x14ac:dyDescent="0.25">
      <c r="B566" s="130"/>
      <c r="C566" s="72"/>
      <c r="D566" s="75"/>
      <c r="E566" s="131"/>
      <c r="F566" s="90"/>
    </row>
    <row r="567" spans="2:6" x14ac:dyDescent="0.25">
      <c r="B567" s="130"/>
      <c r="C567" s="72"/>
      <c r="D567" s="75"/>
      <c r="E567" s="131"/>
      <c r="F567" s="90"/>
    </row>
    <row r="568" spans="2:6" x14ac:dyDescent="0.25">
      <c r="B568" s="130"/>
      <c r="C568" s="72"/>
      <c r="D568" s="75"/>
      <c r="E568" s="131"/>
      <c r="F568" s="90"/>
    </row>
    <row r="569" spans="2:6" x14ac:dyDescent="0.25">
      <c r="B569" s="130"/>
      <c r="C569" s="72"/>
      <c r="D569" s="75"/>
      <c r="E569" s="131"/>
      <c r="F569" s="90"/>
    </row>
    <row r="570" spans="2:6" x14ac:dyDescent="0.25">
      <c r="B570" s="130"/>
      <c r="C570" s="72"/>
      <c r="D570" s="75"/>
      <c r="E570" s="131"/>
      <c r="F570" s="90"/>
    </row>
    <row r="571" spans="2:6" x14ac:dyDescent="0.25">
      <c r="B571" s="130"/>
      <c r="C571" s="72"/>
      <c r="D571" s="75"/>
      <c r="E571" s="131"/>
      <c r="F571" s="90"/>
    </row>
    <row r="572" spans="2:6" x14ac:dyDescent="0.25">
      <c r="B572" s="130"/>
      <c r="C572" s="72"/>
      <c r="D572" s="75"/>
      <c r="E572" s="131"/>
      <c r="F572" s="90"/>
    </row>
    <row r="573" spans="2:6" x14ac:dyDescent="0.25">
      <c r="B573" s="130"/>
      <c r="C573" s="72"/>
      <c r="D573" s="75"/>
      <c r="E573" s="131"/>
      <c r="F573" s="90"/>
    </row>
    <row r="574" spans="2:6" x14ac:dyDescent="0.25">
      <c r="B574" s="130"/>
      <c r="C574" s="72"/>
      <c r="D574" s="75"/>
      <c r="E574" s="131"/>
      <c r="F574" s="90"/>
    </row>
    <row r="575" spans="2:6" x14ac:dyDescent="0.25">
      <c r="B575" s="130"/>
      <c r="C575" s="72"/>
      <c r="D575" s="75"/>
      <c r="E575" s="131"/>
      <c r="F575" s="90"/>
    </row>
    <row r="576" spans="2:6" x14ac:dyDescent="0.25">
      <c r="B576" s="130"/>
      <c r="C576" s="72"/>
      <c r="D576" s="75"/>
      <c r="E576" s="131"/>
      <c r="F576" s="90"/>
    </row>
    <row r="577" spans="2:6" x14ac:dyDescent="0.25">
      <c r="B577" s="130"/>
      <c r="C577" s="72"/>
      <c r="D577" s="75"/>
      <c r="E577" s="131"/>
      <c r="F577" s="90"/>
    </row>
    <row r="578" spans="2:6" x14ac:dyDescent="0.25">
      <c r="B578" s="130"/>
      <c r="C578" s="72"/>
      <c r="D578" s="75"/>
      <c r="E578" s="131"/>
      <c r="F578" s="90"/>
    </row>
    <row r="579" spans="2:6" x14ac:dyDescent="0.25">
      <c r="B579" s="130"/>
      <c r="C579" s="72"/>
      <c r="D579" s="75"/>
      <c r="E579" s="131"/>
      <c r="F579" s="90"/>
    </row>
    <row r="580" spans="2:6" x14ac:dyDescent="0.25">
      <c r="B580" s="130"/>
      <c r="C580" s="72"/>
      <c r="D580" s="75"/>
      <c r="E580" s="131"/>
      <c r="F580" s="90"/>
    </row>
    <row r="581" spans="2:6" x14ac:dyDescent="0.25">
      <c r="B581" s="130"/>
      <c r="C581" s="72"/>
      <c r="D581" s="75"/>
      <c r="E581" s="131"/>
      <c r="F581" s="90"/>
    </row>
    <row r="582" spans="2:6" x14ac:dyDescent="0.25">
      <c r="B582" s="130"/>
      <c r="C582" s="72"/>
      <c r="D582" s="75"/>
      <c r="E582" s="131"/>
      <c r="F582" s="90"/>
    </row>
    <row r="583" spans="2:6" x14ac:dyDescent="0.25">
      <c r="B583" s="130"/>
      <c r="C583" s="72"/>
      <c r="D583" s="75"/>
      <c r="E583" s="131"/>
      <c r="F583" s="90"/>
    </row>
    <row r="584" spans="2:6" x14ac:dyDescent="0.25">
      <c r="B584" s="130"/>
      <c r="C584" s="72"/>
      <c r="D584" s="75"/>
      <c r="E584" s="131"/>
      <c r="F584" s="90"/>
    </row>
    <row r="585" spans="2:6" x14ac:dyDescent="0.25">
      <c r="B585" s="130"/>
      <c r="C585" s="72"/>
      <c r="D585" s="75"/>
      <c r="E585" s="131"/>
      <c r="F585" s="90"/>
    </row>
    <row r="586" spans="2:6" x14ac:dyDescent="0.25">
      <c r="B586" s="130"/>
      <c r="C586" s="72"/>
      <c r="D586" s="75"/>
      <c r="E586" s="131"/>
      <c r="F586" s="90"/>
    </row>
    <row r="587" spans="2:6" x14ac:dyDescent="0.25">
      <c r="B587" s="130"/>
      <c r="C587" s="72"/>
      <c r="D587" s="75"/>
      <c r="E587" s="131"/>
      <c r="F587" s="90"/>
    </row>
    <row r="588" spans="2:6" x14ac:dyDescent="0.25">
      <c r="B588" s="130"/>
      <c r="C588" s="72"/>
      <c r="D588" s="75"/>
      <c r="E588" s="131"/>
      <c r="F588" s="90"/>
    </row>
    <row r="589" spans="2:6" x14ac:dyDescent="0.25">
      <c r="B589" s="130"/>
      <c r="C589" s="72"/>
      <c r="D589" s="75"/>
      <c r="E589" s="131"/>
      <c r="F589" s="90"/>
    </row>
    <row r="590" spans="2:6" x14ac:dyDescent="0.25">
      <c r="B590" s="130"/>
      <c r="C590" s="72"/>
      <c r="D590" s="75"/>
      <c r="E590" s="131"/>
      <c r="F590" s="90"/>
    </row>
    <row r="591" spans="2:6" x14ac:dyDescent="0.25">
      <c r="B591" s="130"/>
      <c r="C591" s="72"/>
      <c r="D591" s="75"/>
      <c r="E591" s="131"/>
      <c r="F591" s="90"/>
    </row>
    <row r="592" spans="2:6" x14ac:dyDescent="0.25">
      <c r="B592" s="130"/>
      <c r="C592" s="72"/>
      <c r="D592" s="75"/>
      <c r="E592" s="131"/>
      <c r="F592" s="90"/>
    </row>
    <row r="593" spans="2:6" x14ac:dyDescent="0.25">
      <c r="B593" s="130"/>
      <c r="C593" s="72"/>
      <c r="D593" s="75"/>
      <c r="E593" s="131"/>
      <c r="F593" s="90"/>
    </row>
    <row r="594" spans="2:6" x14ac:dyDescent="0.25">
      <c r="B594" s="130"/>
      <c r="C594" s="72"/>
      <c r="D594" s="75"/>
      <c r="E594" s="131"/>
      <c r="F594" s="90"/>
    </row>
    <row r="595" spans="2:6" x14ac:dyDescent="0.25">
      <c r="B595" s="130"/>
      <c r="C595" s="72"/>
      <c r="D595" s="75"/>
      <c r="E595" s="131"/>
      <c r="F595" s="90"/>
    </row>
    <row r="596" spans="2:6" x14ac:dyDescent="0.25">
      <c r="B596" s="130"/>
      <c r="C596" s="72"/>
      <c r="D596" s="75"/>
      <c r="E596" s="131"/>
      <c r="F596" s="90"/>
    </row>
    <row r="597" spans="2:6" x14ac:dyDescent="0.25">
      <c r="B597" s="130"/>
      <c r="C597" s="72"/>
      <c r="D597" s="75"/>
      <c r="E597" s="131"/>
      <c r="F597" s="90"/>
    </row>
    <row r="598" spans="2:6" x14ac:dyDescent="0.25">
      <c r="B598" s="130"/>
      <c r="C598" s="72"/>
      <c r="D598" s="75"/>
      <c r="E598" s="131"/>
      <c r="F598" s="90"/>
    </row>
    <row r="599" spans="2:6" x14ac:dyDescent="0.25">
      <c r="B599" s="130"/>
      <c r="C599" s="72"/>
      <c r="D599" s="75"/>
      <c r="E599" s="131"/>
      <c r="F599" s="90"/>
    </row>
    <row r="600" spans="2:6" x14ac:dyDescent="0.25">
      <c r="B600" s="130"/>
      <c r="C600" s="72"/>
      <c r="D600" s="75"/>
      <c r="E600" s="131"/>
      <c r="F600" s="90"/>
    </row>
    <row r="601" spans="2:6" x14ac:dyDescent="0.25">
      <c r="B601" s="130"/>
      <c r="C601" s="72"/>
      <c r="D601" s="75"/>
      <c r="E601" s="131"/>
      <c r="F601" s="90"/>
    </row>
    <row r="602" spans="2:6" x14ac:dyDescent="0.25">
      <c r="B602" s="130"/>
      <c r="C602" s="72"/>
      <c r="D602" s="75"/>
      <c r="E602" s="131"/>
      <c r="F602" s="90"/>
    </row>
    <row r="603" spans="2:6" x14ac:dyDescent="0.25">
      <c r="B603" s="130"/>
      <c r="C603" s="72"/>
      <c r="D603" s="75"/>
      <c r="E603" s="131"/>
      <c r="F603" s="90"/>
    </row>
    <row r="604" spans="2:6" x14ac:dyDescent="0.25">
      <c r="B604" s="130"/>
      <c r="C604" s="72"/>
      <c r="D604" s="75"/>
      <c r="E604" s="131"/>
      <c r="F604" s="90"/>
    </row>
    <row r="605" spans="2:6" x14ac:dyDescent="0.25">
      <c r="B605" s="130"/>
      <c r="C605" s="72"/>
      <c r="D605" s="75"/>
      <c r="E605" s="131"/>
      <c r="F605" s="90"/>
    </row>
    <row r="606" spans="2:6" x14ac:dyDescent="0.25">
      <c r="B606" s="130"/>
      <c r="C606" s="72"/>
      <c r="D606" s="75"/>
      <c r="E606" s="131"/>
      <c r="F606" s="90"/>
    </row>
    <row r="607" spans="2:6" x14ac:dyDescent="0.25">
      <c r="B607" s="130"/>
      <c r="C607" s="72"/>
      <c r="D607" s="75"/>
      <c r="E607" s="131"/>
      <c r="F607" s="90"/>
    </row>
    <row r="608" spans="2:6" x14ac:dyDescent="0.25">
      <c r="B608" s="130"/>
      <c r="C608" s="72"/>
      <c r="D608" s="75"/>
      <c r="E608" s="131"/>
      <c r="F608" s="90"/>
    </row>
    <row r="609" spans="2:6" x14ac:dyDescent="0.25">
      <c r="B609" s="130"/>
      <c r="C609" s="72"/>
      <c r="D609" s="75"/>
      <c r="E609" s="131"/>
      <c r="F609" s="90"/>
    </row>
    <row r="610" spans="2:6" x14ac:dyDescent="0.25">
      <c r="B610" s="130"/>
      <c r="C610" s="72"/>
      <c r="D610" s="75"/>
      <c r="E610" s="131"/>
      <c r="F610" s="90"/>
    </row>
    <row r="611" spans="2:6" x14ac:dyDescent="0.25">
      <c r="B611" s="130"/>
      <c r="C611" s="72"/>
      <c r="D611" s="75"/>
      <c r="E611" s="131"/>
      <c r="F611" s="90"/>
    </row>
    <row r="612" spans="2:6" x14ac:dyDescent="0.25">
      <c r="B612" s="130"/>
      <c r="C612" s="72"/>
      <c r="D612" s="75"/>
      <c r="E612" s="131"/>
      <c r="F612" s="90"/>
    </row>
    <row r="613" spans="2:6" x14ac:dyDescent="0.25">
      <c r="B613" s="130"/>
      <c r="C613" s="72"/>
      <c r="D613" s="75"/>
      <c r="E613" s="131"/>
      <c r="F613" s="90"/>
    </row>
    <row r="614" spans="2:6" x14ac:dyDescent="0.25">
      <c r="B614" s="130"/>
      <c r="C614" s="72"/>
      <c r="D614" s="75"/>
      <c r="E614" s="131"/>
      <c r="F614" s="90"/>
    </row>
    <row r="615" spans="2:6" x14ac:dyDescent="0.25">
      <c r="B615" s="130"/>
      <c r="C615" s="72"/>
      <c r="D615" s="75"/>
      <c r="E615" s="131"/>
      <c r="F615" s="90"/>
    </row>
    <row r="616" spans="2:6" x14ac:dyDescent="0.25">
      <c r="B616" s="130"/>
      <c r="C616" s="72"/>
      <c r="D616" s="75"/>
      <c r="E616" s="131"/>
      <c r="F616" s="90"/>
    </row>
    <row r="617" spans="2:6" x14ac:dyDescent="0.25">
      <c r="B617" s="130"/>
      <c r="C617" s="72"/>
      <c r="D617" s="75"/>
      <c r="E617" s="131"/>
      <c r="F617" s="90"/>
    </row>
    <row r="618" spans="2:6" x14ac:dyDescent="0.25">
      <c r="B618" s="130"/>
      <c r="C618" s="72"/>
      <c r="D618" s="75"/>
      <c r="E618" s="131"/>
      <c r="F618" s="90"/>
    </row>
    <row r="619" spans="2:6" x14ac:dyDescent="0.25">
      <c r="B619" s="130"/>
      <c r="C619" s="72"/>
      <c r="D619" s="75"/>
      <c r="E619" s="131"/>
      <c r="F619" s="90"/>
    </row>
    <row r="620" spans="2:6" x14ac:dyDescent="0.25">
      <c r="B620" s="130"/>
      <c r="C620" s="72"/>
      <c r="D620" s="75"/>
      <c r="E620" s="131"/>
      <c r="F620" s="90"/>
    </row>
    <row r="621" spans="2:6" x14ac:dyDescent="0.25">
      <c r="B621" s="130"/>
      <c r="C621" s="72"/>
      <c r="D621" s="75"/>
      <c r="E621" s="131"/>
      <c r="F621" s="90"/>
    </row>
    <row r="622" spans="2:6" x14ac:dyDescent="0.25">
      <c r="B622" s="130"/>
      <c r="C622" s="72"/>
      <c r="D622" s="75"/>
      <c r="E622" s="131"/>
      <c r="F622" s="90"/>
    </row>
    <row r="623" spans="2:6" x14ac:dyDescent="0.25">
      <c r="B623" s="130"/>
      <c r="C623" s="72"/>
      <c r="D623" s="75"/>
      <c r="E623" s="131"/>
      <c r="F623" s="90"/>
    </row>
    <row r="624" spans="2:6" x14ac:dyDescent="0.25">
      <c r="B624" s="130"/>
      <c r="C624" s="72"/>
      <c r="D624" s="75"/>
      <c r="E624" s="131"/>
      <c r="F624" s="90"/>
    </row>
    <row r="625" spans="2:6" x14ac:dyDescent="0.25">
      <c r="B625" s="130"/>
      <c r="C625" s="72"/>
      <c r="D625" s="75"/>
      <c r="E625" s="131"/>
      <c r="F625" s="90"/>
    </row>
    <row r="626" spans="2:6" x14ac:dyDescent="0.25">
      <c r="B626" s="130"/>
      <c r="C626" s="72"/>
      <c r="D626" s="75"/>
      <c r="E626" s="131"/>
      <c r="F626" s="90"/>
    </row>
    <row r="627" spans="2:6" x14ac:dyDescent="0.25">
      <c r="B627" s="130"/>
      <c r="C627" s="72"/>
      <c r="D627" s="75"/>
      <c r="E627" s="131"/>
      <c r="F627" s="90"/>
    </row>
    <row r="628" spans="2:6" x14ac:dyDescent="0.25">
      <c r="B628" s="130"/>
      <c r="C628" s="72"/>
      <c r="D628" s="75"/>
      <c r="E628" s="131"/>
      <c r="F628" s="90"/>
    </row>
    <row r="629" spans="2:6" x14ac:dyDescent="0.25">
      <c r="B629" s="130"/>
      <c r="C629" s="72"/>
      <c r="D629" s="75"/>
      <c r="E629" s="131"/>
      <c r="F629" s="90"/>
    </row>
    <row r="630" spans="2:6" x14ac:dyDescent="0.25">
      <c r="B630" s="130"/>
      <c r="C630" s="72"/>
      <c r="D630" s="75"/>
      <c r="E630" s="131"/>
      <c r="F630" s="90"/>
    </row>
    <row r="631" spans="2:6" x14ac:dyDescent="0.25">
      <c r="B631" s="130"/>
      <c r="C631" s="72"/>
      <c r="D631" s="75"/>
      <c r="E631" s="131"/>
      <c r="F631" s="90"/>
    </row>
    <row r="632" spans="2:6" x14ac:dyDescent="0.25">
      <c r="B632" s="130"/>
      <c r="C632" s="72"/>
      <c r="D632" s="75"/>
      <c r="E632" s="131"/>
      <c r="F632" s="90"/>
    </row>
    <row r="633" spans="2:6" x14ac:dyDescent="0.25">
      <c r="B633" s="130"/>
      <c r="C633" s="72"/>
      <c r="D633" s="75"/>
      <c r="E633" s="131"/>
      <c r="F633" s="90"/>
    </row>
    <row r="634" spans="2:6" x14ac:dyDescent="0.25">
      <c r="B634" s="130"/>
      <c r="C634" s="72"/>
      <c r="D634" s="75"/>
      <c r="E634" s="131"/>
      <c r="F634" s="90"/>
    </row>
    <row r="635" spans="2:6" x14ac:dyDescent="0.25">
      <c r="B635" s="130"/>
      <c r="C635" s="72"/>
      <c r="D635" s="75"/>
      <c r="E635" s="131"/>
      <c r="F635" s="90"/>
    </row>
    <row r="636" spans="2:6" x14ac:dyDescent="0.25">
      <c r="B636" s="130"/>
      <c r="C636" s="72"/>
      <c r="D636" s="75"/>
      <c r="E636" s="131"/>
      <c r="F636" s="90"/>
    </row>
    <row r="637" spans="2:6" x14ac:dyDescent="0.25">
      <c r="B637" s="130"/>
      <c r="C637" s="72"/>
      <c r="D637" s="75"/>
      <c r="E637" s="131"/>
      <c r="F637" s="90"/>
    </row>
    <row r="638" spans="2:6" x14ac:dyDescent="0.25">
      <c r="B638" s="130"/>
      <c r="C638" s="72"/>
      <c r="D638" s="75"/>
      <c r="E638" s="131"/>
      <c r="F638" s="90"/>
    </row>
    <row r="639" spans="2:6" x14ac:dyDescent="0.25">
      <c r="B639" s="130"/>
      <c r="C639" s="72"/>
      <c r="D639" s="75"/>
      <c r="E639" s="131"/>
      <c r="F639" s="90"/>
    </row>
    <row r="640" spans="2:6" x14ac:dyDescent="0.25">
      <c r="B640" s="130"/>
      <c r="C640" s="72"/>
      <c r="D640" s="75"/>
      <c r="E640" s="131"/>
      <c r="F640" s="90"/>
    </row>
    <row r="641" spans="2:6" x14ac:dyDescent="0.25">
      <c r="B641" s="130"/>
      <c r="C641" s="72"/>
      <c r="D641" s="75"/>
      <c r="E641" s="131"/>
      <c r="F641" s="90"/>
    </row>
    <row r="642" spans="2:6" x14ac:dyDescent="0.25">
      <c r="B642" s="130"/>
      <c r="C642" s="72"/>
      <c r="D642" s="75"/>
      <c r="E642" s="131"/>
      <c r="F642" s="90"/>
    </row>
    <row r="643" spans="2:6" x14ac:dyDescent="0.25">
      <c r="B643" s="130"/>
      <c r="C643" s="72"/>
      <c r="D643" s="75"/>
      <c r="E643" s="131"/>
      <c r="F643" s="90"/>
    </row>
    <row r="644" spans="2:6" x14ac:dyDescent="0.25">
      <c r="B644" s="130"/>
      <c r="C644" s="72"/>
      <c r="D644" s="75"/>
      <c r="E644" s="131"/>
      <c r="F644" s="90"/>
    </row>
    <row r="645" spans="2:6" x14ac:dyDescent="0.25">
      <c r="B645" s="130"/>
      <c r="C645" s="72"/>
      <c r="D645" s="75"/>
      <c r="E645" s="131"/>
      <c r="F645" s="90"/>
    </row>
    <row r="646" spans="2:6" x14ac:dyDescent="0.25">
      <c r="B646" s="130"/>
      <c r="C646" s="72"/>
      <c r="D646" s="75"/>
      <c r="E646" s="131"/>
      <c r="F646" s="90"/>
    </row>
    <row r="647" spans="2:6" x14ac:dyDescent="0.25">
      <c r="B647" s="130"/>
      <c r="C647" s="72"/>
      <c r="D647" s="75"/>
      <c r="E647" s="131"/>
      <c r="F647" s="90"/>
    </row>
    <row r="648" spans="2:6" x14ac:dyDescent="0.25">
      <c r="B648" s="130"/>
      <c r="C648" s="72"/>
      <c r="D648" s="75"/>
      <c r="E648" s="131"/>
      <c r="F648" s="90"/>
    </row>
    <row r="649" spans="2:6" x14ac:dyDescent="0.25">
      <c r="B649" s="130"/>
      <c r="C649" s="72"/>
      <c r="D649" s="75"/>
      <c r="E649" s="131"/>
      <c r="F649" s="90"/>
    </row>
    <row r="650" spans="2:6" x14ac:dyDescent="0.25">
      <c r="B650" s="130"/>
      <c r="C650" s="72"/>
      <c r="D650" s="75"/>
      <c r="E650" s="131"/>
      <c r="F650" s="90"/>
    </row>
    <row r="651" spans="2:6" x14ac:dyDescent="0.25">
      <c r="B651" s="130"/>
      <c r="C651" s="72"/>
      <c r="D651" s="75"/>
      <c r="E651" s="131"/>
      <c r="F651" s="90"/>
    </row>
    <row r="652" spans="2:6" x14ac:dyDescent="0.25">
      <c r="B652" s="130"/>
      <c r="C652" s="72"/>
      <c r="D652" s="75"/>
      <c r="E652" s="131"/>
      <c r="F652" s="90"/>
    </row>
    <row r="653" spans="2:6" x14ac:dyDescent="0.25">
      <c r="B653" s="130"/>
      <c r="C653" s="72"/>
      <c r="D653" s="75"/>
      <c r="E653" s="131"/>
      <c r="F653" s="90"/>
    </row>
    <row r="654" spans="2:6" x14ac:dyDescent="0.25">
      <c r="B654" s="130"/>
      <c r="C654" s="72"/>
      <c r="D654" s="75"/>
      <c r="E654" s="131"/>
      <c r="F654" s="90"/>
    </row>
    <row r="655" spans="2:6" x14ac:dyDescent="0.25">
      <c r="B655" s="130"/>
      <c r="C655" s="72"/>
      <c r="D655" s="75"/>
      <c r="E655" s="131"/>
      <c r="F655" s="90"/>
    </row>
    <row r="656" spans="2:6" x14ac:dyDescent="0.25">
      <c r="B656" s="130"/>
      <c r="C656" s="72"/>
      <c r="D656" s="75"/>
      <c r="E656" s="131"/>
      <c r="F656" s="90"/>
    </row>
    <row r="657" spans="2:6" x14ac:dyDescent="0.25">
      <c r="B657" s="130"/>
      <c r="C657" s="72"/>
      <c r="D657" s="75"/>
      <c r="E657" s="131"/>
      <c r="F657" s="90"/>
    </row>
    <row r="658" spans="2:6" x14ac:dyDescent="0.25">
      <c r="B658" s="130"/>
      <c r="C658" s="72"/>
      <c r="D658" s="75"/>
      <c r="E658" s="131"/>
      <c r="F658" s="90"/>
    </row>
    <row r="659" spans="2:6" x14ac:dyDescent="0.25">
      <c r="B659" s="130"/>
      <c r="C659" s="72"/>
      <c r="D659" s="75"/>
      <c r="E659" s="131"/>
      <c r="F659" s="90"/>
    </row>
    <row r="660" spans="2:6" x14ac:dyDescent="0.25">
      <c r="B660" s="130"/>
      <c r="C660" s="72"/>
      <c r="D660" s="75"/>
      <c r="E660" s="131"/>
      <c r="F660" s="90"/>
    </row>
    <row r="661" spans="2:6" x14ac:dyDescent="0.25">
      <c r="B661" s="130"/>
      <c r="C661" s="72"/>
      <c r="D661" s="75"/>
      <c r="E661" s="131"/>
      <c r="F661" s="90"/>
    </row>
    <row r="662" spans="2:6" x14ac:dyDescent="0.25">
      <c r="B662" s="130"/>
      <c r="C662" s="72"/>
      <c r="D662" s="75"/>
      <c r="E662" s="131"/>
      <c r="F662" s="90"/>
    </row>
    <row r="663" spans="2:6" x14ac:dyDescent="0.25">
      <c r="B663" s="130"/>
      <c r="C663" s="72"/>
      <c r="D663" s="75"/>
      <c r="E663" s="131"/>
      <c r="F663" s="90"/>
    </row>
    <row r="664" spans="2:6" x14ac:dyDescent="0.25">
      <c r="B664" s="130"/>
      <c r="C664" s="72"/>
      <c r="D664" s="75"/>
      <c r="E664" s="131"/>
      <c r="F664" s="90"/>
    </row>
    <row r="665" spans="2:6" x14ac:dyDescent="0.25">
      <c r="B665" s="130"/>
      <c r="C665" s="72"/>
      <c r="D665" s="75"/>
      <c r="E665" s="131"/>
      <c r="F665" s="90"/>
    </row>
    <row r="666" spans="2:6" x14ac:dyDescent="0.25">
      <c r="B666" s="130"/>
      <c r="C666" s="72"/>
      <c r="D666" s="75"/>
      <c r="E666" s="131"/>
      <c r="F666" s="90"/>
    </row>
    <row r="667" spans="2:6" x14ac:dyDescent="0.25">
      <c r="B667" s="130"/>
      <c r="C667" s="72"/>
      <c r="D667" s="75"/>
      <c r="E667" s="131"/>
      <c r="F667" s="90"/>
    </row>
    <row r="668" spans="2:6" x14ac:dyDescent="0.25">
      <c r="B668" s="130"/>
      <c r="C668" s="72"/>
      <c r="D668" s="75"/>
      <c r="E668" s="131"/>
      <c r="F668" s="90"/>
    </row>
    <row r="669" spans="2:6" x14ac:dyDescent="0.25">
      <c r="B669" s="130"/>
      <c r="C669" s="72"/>
      <c r="D669" s="75"/>
      <c r="E669" s="131"/>
      <c r="F669" s="90"/>
    </row>
    <row r="670" spans="2:6" x14ac:dyDescent="0.25">
      <c r="B670" s="130"/>
      <c r="C670" s="72"/>
      <c r="D670" s="75"/>
      <c r="E670" s="131"/>
      <c r="F670" s="90"/>
    </row>
    <row r="671" spans="2:6" x14ac:dyDescent="0.25">
      <c r="B671" s="130"/>
      <c r="C671" s="72"/>
      <c r="D671" s="75"/>
      <c r="E671" s="131"/>
      <c r="F671" s="90"/>
    </row>
    <row r="672" spans="2:6" x14ac:dyDescent="0.25">
      <c r="B672" s="130"/>
      <c r="C672" s="72"/>
      <c r="D672" s="75"/>
      <c r="E672" s="131"/>
      <c r="F672" s="90"/>
    </row>
    <row r="673" spans="2:6" x14ac:dyDescent="0.25">
      <c r="B673" s="130"/>
      <c r="C673" s="72"/>
      <c r="D673" s="75"/>
      <c r="E673" s="131"/>
      <c r="F673" s="90"/>
    </row>
    <row r="674" spans="2:6" x14ac:dyDescent="0.25">
      <c r="B674" s="130"/>
      <c r="C674" s="72"/>
      <c r="D674" s="75"/>
      <c r="E674" s="131"/>
      <c r="F674" s="90"/>
    </row>
    <row r="675" spans="2:6" x14ac:dyDescent="0.25">
      <c r="B675" s="130"/>
      <c r="C675" s="72"/>
      <c r="D675" s="75"/>
      <c r="E675" s="131"/>
      <c r="F675" s="90"/>
    </row>
    <row r="676" spans="2:6" x14ac:dyDescent="0.25">
      <c r="B676" s="130"/>
      <c r="C676" s="72"/>
      <c r="D676" s="75"/>
      <c r="E676" s="131"/>
      <c r="F676" s="90"/>
    </row>
    <row r="677" spans="2:6" x14ac:dyDescent="0.25">
      <c r="B677" s="130"/>
      <c r="C677" s="72"/>
      <c r="D677" s="75"/>
      <c r="E677" s="131"/>
      <c r="F677" s="90"/>
    </row>
    <row r="678" spans="2:6" x14ac:dyDescent="0.25">
      <c r="B678" s="130"/>
      <c r="C678" s="72"/>
      <c r="D678" s="75"/>
      <c r="E678" s="131"/>
      <c r="F678" s="90"/>
    </row>
    <row r="679" spans="2:6" x14ac:dyDescent="0.25">
      <c r="B679" s="130"/>
      <c r="C679" s="72"/>
      <c r="D679" s="75"/>
      <c r="E679" s="131"/>
      <c r="F679" s="90"/>
    </row>
    <row r="680" spans="2:6" x14ac:dyDescent="0.25">
      <c r="B680" s="130"/>
      <c r="C680" s="72"/>
      <c r="D680" s="75"/>
      <c r="E680" s="131"/>
      <c r="F680" s="90"/>
    </row>
    <row r="681" spans="2:6" x14ac:dyDescent="0.25">
      <c r="B681" s="130"/>
      <c r="C681" s="72"/>
      <c r="D681" s="75"/>
      <c r="E681" s="131"/>
      <c r="F681" s="90"/>
    </row>
    <row r="682" spans="2:6" x14ac:dyDescent="0.25">
      <c r="B682" s="130"/>
      <c r="C682" s="72"/>
      <c r="D682" s="75"/>
      <c r="E682" s="131"/>
      <c r="F682" s="90"/>
    </row>
    <row r="683" spans="2:6" x14ac:dyDescent="0.25">
      <c r="B683" s="130"/>
      <c r="C683" s="72"/>
      <c r="D683" s="75"/>
      <c r="E683" s="131"/>
      <c r="F683" s="90"/>
    </row>
    <row r="684" spans="2:6" x14ac:dyDescent="0.25">
      <c r="B684" s="130"/>
      <c r="C684" s="72"/>
      <c r="D684" s="75"/>
      <c r="E684" s="131"/>
      <c r="F684" s="90"/>
    </row>
    <row r="685" spans="2:6" x14ac:dyDescent="0.25">
      <c r="B685" s="130"/>
      <c r="C685" s="72"/>
      <c r="D685" s="75"/>
      <c r="E685" s="131"/>
      <c r="F685" s="90"/>
    </row>
    <row r="686" spans="2:6" x14ac:dyDescent="0.25">
      <c r="B686" s="130"/>
      <c r="C686" s="72"/>
      <c r="D686" s="75"/>
      <c r="E686" s="131"/>
      <c r="F686" s="90"/>
    </row>
    <row r="687" spans="2:6" x14ac:dyDescent="0.25">
      <c r="B687" s="130"/>
      <c r="C687" s="72"/>
      <c r="D687" s="75"/>
      <c r="E687" s="131"/>
      <c r="F687" s="90"/>
    </row>
    <row r="688" spans="2:6" x14ac:dyDescent="0.25">
      <c r="B688" s="130"/>
      <c r="C688" s="72"/>
      <c r="D688" s="75"/>
      <c r="E688" s="131"/>
      <c r="F688" s="90"/>
    </row>
    <row r="689" spans="2:6" x14ac:dyDescent="0.25">
      <c r="B689" s="130"/>
      <c r="C689" s="72"/>
      <c r="D689" s="75"/>
      <c r="E689" s="131"/>
      <c r="F689" s="90"/>
    </row>
    <row r="690" spans="2:6" x14ac:dyDescent="0.25">
      <c r="B690" s="130"/>
      <c r="C690" s="72"/>
      <c r="D690" s="75"/>
      <c r="E690" s="131"/>
      <c r="F690" s="90"/>
    </row>
    <row r="691" spans="2:6" x14ac:dyDescent="0.25">
      <c r="B691" s="130"/>
      <c r="C691" s="72"/>
      <c r="D691" s="75"/>
      <c r="E691" s="131"/>
      <c r="F691" s="90"/>
    </row>
    <row r="692" spans="2:6" x14ac:dyDescent="0.25">
      <c r="B692" s="130"/>
      <c r="C692" s="72"/>
      <c r="D692" s="75"/>
      <c r="E692" s="131"/>
      <c r="F692" s="90"/>
    </row>
    <row r="693" spans="2:6" x14ac:dyDescent="0.25">
      <c r="B693" s="130"/>
      <c r="C693" s="72"/>
      <c r="D693" s="75"/>
      <c r="E693" s="131"/>
      <c r="F693" s="90"/>
    </row>
    <row r="694" spans="2:6" x14ac:dyDescent="0.25">
      <c r="B694" s="130"/>
      <c r="C694" s="72"/>
      <c r="D694" s="75"/>
      <c r="E694" s="131"/>
      <c r="F694" s="90"/>
    </row>
    <row r="695" spans="2:6" x14ac:dyDescent="0.25">
      <c r="B695" s="130"/>
      <c r="C695" s="72"/>
      <c r="D695" s="75"/>
      <c r="E695" s="131"/>
      <c r="F695" s="90"/>
    </row>
    <row r="696" spans="2:6" x14ac:dyDescent="0.25">
      <c r="B696" s="130"/>
      <c r="C696" s="72"/>
      <c r="D696" s="75"/>
      <c r="E696" s="131"/>
      <c r="F696" s="90"/>
    </row>
    <row r="697" spans="2:6" x14ac:dyDescent="0.25">
      <c r="B697" s="130"/>
      <c r="C697" s="72"/>
      <c r="D697" s="75"/>
      <c r="E697" s="131"/>
      <c r="F697" s="90"/>
    </row>
    <row r="698" spans="2:6" x14ac:dyDescent="0.25">
      <c r="B698" s="130"/>
      <c r="C698" s="72"/>
      <c r="D698" s="75"/>
      <c r="E698" s="131"/>
      <c r="F698" s="90"/>
    </row>
    <row r="699" spans="2:6" x14ac:dyDescent="0.25">
      <c r="B699" s="130"/>
      <c r="C699" s="72"/>
      <c r="D699" s="75"/>
      <c r="E699" s="131"/>
      <c r="F699" s="90"/>
    </row>
    <row r="700" spans="2:6" x14ac:dyDescent="0.25">
      <c r="B700" s="130"/>
      <c r="C700" s="72"/>
      <c r="D700" s="75"/>
      <c r="E700" s="131"/>
      <c r="F700" s="90"/>
    </row>
    <row r="701" spans="2:6" x14ac:dyDescent="0.25">
      <c r="B701" s="130"/>
      <c r="C701" s="72"/>
      <c r="D701" s="75"/>
      <c r="E701" s="131"/>
      <c r="F701" s="90"/>
    </row>
    <row r="702" spans="2:6" x14ac:dyDescent="0.25">
      <c r="B702" s="130"/>
      <c r="C702" s="72"/>
      <c r="D702" s="75"/>
      <c r="E702" s="131"/>
      <c r="F702" s="90"/>
    </row>
    <row r="703" spans="2:6" x14ac:dyDescent="0.25">
      <c r="B703" s="130"/>
      <c r="C703" s="72"/>
      <c r="D703" s="75"/>
      <c r="E703" s="131"/>
      <c r="F703" s="90"/>
    </row>
    <row r="704" spans="2:6" x14ac:dyDescent="0.25">
      <c r="B704" s="130"/>
      <c r="C704" s="72"/>
      <c r="D704" s="75"/>
      <c r="E704" s="131"/>
      <c r="F704" s="90"/>
    </row>
    <row r="705" spans="2:6" x14ac:dyDescent="0.25">
      <c r="B705" s="130"/>
      <c r="C705" s="72"/>
      <c r="D705" s="75"/>
      <c r="E705" s="131"/>
      <c r="F705" s="90"/>
    </row>
    <row r="706" spans="2:6" x14ac:dyDescent="0.25">
      <c r="B706" s="130"/>
      <c r="C706" s="72"/>
      <c r="D706" s="75"/>
      <c r="E706" s="131"/>
      <c r="F706" s="90"/>
    </row>
    <row r="707" spans="2:6" x14ac:dyDescent="0.25">
      <c r="B707" s="130"/>
      <c r="C707" s="72"/>
      <c r="D707" s="75"/>
      <c r="E707" s="131"/>
      <c r="F707" s="90"/>
    </row>
    <row r="708" spans="2:6" x14ac:dyDescent="0.25">
      <c r="B708" s="130"/>
      <c r="C708" s="72"/>
      <c r="D708" s="75"/>
      <c r="E708" s="131"/>
      <c r="F708" s="90"/>
    </row>
    <row r="709" spans="2:6" x14ac:dyDescent="0.25">
      <c r="B709" s="130"/>
      <c r="C709" s="72"/>
      <c r="D709" s="75"/>
      <c r="E709" s="131"/>
      <c r="F709" s="90"/>
    </row>
    <row r="710" spans="2:6" x14ac:dyDescent="0.25">
      <c r="B710" s="130"/>
      <c r="C710" s="72"/>
      <c r="D710" s="75"/>
      <c r="E710" s="131"/>
      <c r="F710" s="90"/>
    </row>
    <row r="711" spans="2:6" x14ac:dyDescent="0.25">
      <c r="B711" s="130"/>
      <c r="C711" s="72"/>
      <c r="D711" s="75"/>
      <c r="E711" s="131"/>
      <c r="F711" s="90"/>
    </row>
    <row r="712" spans="2:6" x14ac:dyDescent="0.25">
      <c r="B712" s="130"/>
      <c r="C712" s="72"/>
      <c r="D712" s="75"/>
      <c r="E712" s="131"/>
      <c r="F712" s="90"/>
    </row>
    <row r="713" spans="2:6" x14ac:dyDescent="0.25">
      <c r="B713" s="130"/>
      <c r="C713" s="72"/>
      <c r="D713" s="75"/>
      <c r="E713" s="131"/>
      <c r="F713" s="90"/>
    </row>
    <row r="714" spans="2:6" x14ac:dyDescent="0.25">
      <c r="B714" s="130"/>
      <c r="C714" s="72"/>
      <c r="D714" s="75"/>
      <c r="E714" s="131"/>
      <c r="F714" s="90"/>
    </row>
    <row r="715" spans="2:6" x14ac:dyDescent="0.25">
      <c r="B715" s="130"/>
      <c r="C715" s="72"/>
      <c r="D715" s="75"/>
      <c r="E715" s="131"/>
      <c r="F715" s="90"/>
    </row>
    <row r="716" spans="2:6" x14ac:dyDescent="0.25">
      <c r="B716" s="130"/>
      <c r="C716" s="72"/>
      <c r="D716" s="75"/>
      <c r="E716" s="131"/>
      <c r="F716" s="90"/>
    </row>
    <row r="717" spans="2:6" x14ac:dyDescent="0.25">
      <c r="B717" s="130"/>
      <c r="C717" s="72"/>
      <c r="D717" s="75"/>
      <c r="E717" s="131"/>
      <c r="F717" s="90"/>
    </row>
    <row r="718" spans="2:6" x14ac:dyDescent="0.25">
      <c r="B718" s="130"/>
      <c r="C718" s="72"/>
      <c r="D718" s="75"/>
      <c r="E718" s="131"/>
      <c r="F718" s="90"/>
    </row>
    <row r="719" spans="2:6" x14ac:dyDescent="0.25">
      <c r="B719" s="130"/>
      <c r="C719" s="72"/>
      <c r="D719" s="75"/>
      <c r="E719" s="131"/>
      <c r="F719" s="90"/>
    </row>
    <row r="720" spans="2:6" x14ac:dyDescent="0.25">
      <c r="B720" s="130"/>
      <c r="C720" s="72"/>
      <c r="D720" s="75"/>
      <c r="E720" s="131"/>
      <c r="F720" s="90"/>
    </row>
    <row r="721" spans="2:6" x14ac:dyDescent="0.25">
      <c r="B721" s="130"/>
      <c r="C721" s="72"/>
      <c r="D721" s="75"/>
      <c r="E721" s="131"/>
      <c r="F721" s="90"/>
    </row>
    <row r="722" spans="2:6" x14ac:dyDescent="0.25">
      <c r="B722" s="130"/>
      <c r="C722" s="72"/>
      <c r="D722" s="75"/>
      <c r="E722" s="131"/>
      <c r="F722" s="90"/>
    </row>
    <row r="723" spans="2:6" x14ac:dyDescent="0.25">
      <c r="B723" s="130"/>
      <c r="C723" s="72"/>
      <c r="D723" s="75"/>
      <c r="E723" s="131"/>
      <c r="F723" s="90"/>
    </row>
    <row r="724" spans="2:6" x14ac:dyDescent="0.25">
      <c r="B724" s="130"/>
      <c r="C724" s="72"/>
      <c r="D724" s="75"/>
      <c r="E724" s="131"/>
      <c r="F724" s="90"/>
    </row>
    <row r="725" spans="2:6" x14ac:dyDescent="0.25">
      <c r="B725" s="130"/>
      <c r="C725" s="72"/>
      <c r="D725" s="75"/>
      <c r="E725" s="131"/>
      <c r="F725" s="90"/>
    </row>
    <row r="726" spans="2:6" x14ac:dyDescent="0.25">
      <c r="B726" s="130"/>
      <c r="C726" s="72"/>
      <c r="D726" s="75"/>
      <c r="E726" s="131"/>
      <c r="F726" s="90"/>
    </row>
    <row r="727" spans="2:6" x14ac:dyDescent="0.25">
      <c r="B727" s="130"/>
      <c r="C727" s="72"/>
      <c r="D727" s="75"/>
      <c r="E727" s="131"/>
      <c r="F727" s="90"/>
    </row>
    <row r="728" spans="2:6" x14ac:dyDescent="0.25">
      <c r="B728" s="130"/>
      <c r="C728" s="72"/>
      <c r="D728" s="75"/>
      <c r="E728" s="131"/>
      <c r="F728" s="90"/>
    </row>
    <row r="729" spans="2:6" x14ac:dyDescent="0.25">
      <c r="B729" s="130"/>
      <c r="C729" s="72"/>
      <c r="D729" s="75"/>
      <c r="E729" s="131"/>
      <c r="F729" s="90"/>
    </row>
    <row r="730" spans="2:6" x14ac:dyDescent="0.25">
      <c r="B730" s="130"/>
      <c r="C730" s="72"/>
      <c r="D730" s="75"/>
      <c r="E730" s="131"/>
      <c r="F730" s="90"/>
    </row>
    <row r="731" spans="2:6" x14ac:dyDescent="0.25">
      <c r="B731" s="130"/>
      <c r="C731" s="72"/>
      <c r="D731" s="75"/>
      <c r="E731" s="131"/>
      <c r="F731" s="90"/>
    </row>
    <row r="732" spans="2:6" x14ac:dyDescent="0.25">
      <c r="B732" s="130"/>
      <c r="C732" s="72"/>
      <c r="D732" s="75"/>
      <c r="E732" s="131"/>
      <c r="F732" s="90"/>
    </row>
    <row r="733" spans="2:6" x14ac:dyDescent="0.25">
      <c r="B733" s="130"/>
      <c r="C733" s="72"/>
      <c r="D733" s="75"/>
      <c r="E733" s="131"/>
      <c r="F733" s="90"/>
    </row>
    <row r="734" spans="2:6" x14ac:dyDescent="0.25">
      <c r="B734" s="130"/>
      <c r="C734" s="72"/>
      <c r="D734" s="75"/>
      <c r="E734" s="131"/>
      <c r="F734" s="90"/>
    </row>
    <row r="735" spans="2:6" x14ac:dyDescent="0.25">
      <c r="B735" s="130"/>
      <c r="C735" s="72"/>
      <c r="D735" s="75"/>
      <c r="E735" s="131"/>
      <c r="F735" s="90"/>
    </row>
    <row r="736" spans="2:6" x14ac:dyDescent="0.25">
      <c r="B736" s="130"/>
      <c r="C736" s="72"/>
      <c r="D736" s="75"/>
      <c r="E736" s="131"/>
      <c r="F736" s="90"/>
    </row>
    <row r="737" spans="2:6" x14ac:dyDescent="0.25">
      <c r="B737" s="130"/>
      <c r="C737" s="72"/>
      <c r="D737" s="75"/>
      <c r="E737" s="131"/>
      <c r="F737" s="90"/>
    </row>
    <row r="738" spans="2:6" x14ac:dyDescent="0.25">
      <c r="B738" s="130"/>
      <c r="C738" s="72"/>
      <c r="D738" s="75"/>
      <c r="E738" s="131"/>
      <c r="F738" s="90"/>
    </row>
    <row r="739" spans="2:6" x14ac:dyDescent="0.25">
      <c r="B739" s="130"/>
      <c r="C739" s="72"/>
      <c r="D739" s="75"/>
      <c r="E739" s="131"/>
      <c r="F739" s="90"/>
    </row>
    <row r="740" spans="2:6" x14ac:dyDescent="0.25">
      <c r="B740" s="130"/>
      <c r="C740" s="72"/>
      <c r="D740" s="75"/>
      <c r="E740" s="131"/>
      <c r="F740" s="90"/>
    </row>
    <row r="741" spans="2:6" x14ac:dyDescent="0.25">
      <c r="B741" s="130"/>
      <c r="C741" s="72"/>
      <c r="D741" s="75"/>
      <c r="E741" s="131"/>
      <c r="F741" s="90"/>
    </row>
    <row r="742" spans="2:6" x14ac:dyDescent="0.25">
      <c r="B742" s="130"/>
      <c r="C742" s="72"/>
      <c r="D742" s="75"/>
      <c r="E742" s="131"/>
      <c r="F742" s="90"/>
    </row>
    <row r="743" spans="2:6" x14ac:dyDescent="0.25">
      <c r="B743" s="130"/>
      <c r="C743" s="72"/>
      <c r="D743" s="75"/>
      <c r="E743" s="131"/>
      <c r="F743" s="90"/>
    </row>
    <row r="744" spans="2:6" x14ac:dyDescent="0.25">
      <c r="B744" s="130"/>
      <c r="C744" s="72"/>
      <c r="D744" s="75"/>
      <c r="E744" s="131"/>
      <c r="F744" s="90"/>
    </row>
    <row r="745" spans="2:6" x14ac:dyDescent="0.25">
      <c r="B745" s="130"/>
      <c r="C745" s="72"/>
      <c r="D745" s="75"/>
      <c r="E745" s="131"/>
      <c r="F745" s="90"/>
    </row>
    <row r="746" spans="2:6" x14ac:dyDescent="0.25">
      <c r="B746" s="130"/>
      <c r="C746" s="72"/>
      <c r="D746" s="75"/>
      <c r="E746" s="131"/>
      <c r="F746" s="90"/>
    </row>
    <row r="747" spans="2:6" x14ac:dyDescent="0.25">
      <c r="B747" s="130"/>
      <c r="C747" s="72"/>
      <c r="D747" s="75"/>
      <c r="E747" s="131"/>
      <c r="F747" s="90"/>
    </row>
    <row r="748" spans="2:6" x14ac:dyDescent="0.25">
      <c r="B748" s="130"/>
      <c r="C748" s="72"/>
      <c r="D748" s="75"/>
      <c r="E748" s="131"/>
      <c r="F748" s="90"/>
    </row>
    <row r="749" spans="2:6" x14ac:dyDescent="0.25">
      <c r="B749" s="130"/>
      <c r="C749" s="72"/>
      <c r="D749" s="75"/>
      <c r="E749" s="131"/>
      <c r="F749" s="90"/>
    </row>
    <row r="750" spans="2:6" x14ac:dyDescent="0.25">
      <c r="B750" s="130"/>
      <c r="C750" s="72"/>
      <c r="D750" s="75"/>
      <c r="E750" s="131"/>
      <c r="F750" s="90"/>
    </row>
    <row r="751" spans="2:6" x14ac:dyDescent="0.25">
      <c r="B751" s="130"/>
      <c r="C751" s="72"/>
      <c r="D751" s="75"/>
      <c r="E751" s="131"/>
      <c r="F751" s="90"/>
    </row>
    <row r="752" spans="2:6" x14ac:dyDescent="0.25">
      <c r="B752" s="130"/>
      <c r="C752" s="72"/>
      <c r="D752" s="75"/>
      <c r="E752" s="131"/>
      <c r="F752" s="90"/>
    </row>
    <row r="753" spans="2:6" x14ac:dyDescent="0.25">
      <c r="B753" s="130"/>
      <c r="C753" s="72"/>
      <c r="D753" s="75"/>
      <c r="E753" s="131"/>
      <c r="F753" s="90"/>
    </row>
    <row r="754" spans="2:6" x14ac:dyDescent="0.25">
      <c r="B754" s="130"/>
      <c r="C754" s="72"/>
      <c r="D754" s="75"/>
      <c r="E754" s="131"/>
      <c r="F754" s="90"/>
    </row>
    <row r="755" spans="2:6" x14ac:dyDescent="0.25">
      <c r="B755" s="130"/>
      <c r="C755" s="72"/>
      <c r="D755" s="75"/>
      <c r="E755" s="131"/>
      <c r="F755" s="90"/>
    </row>
    <row r="756" spans="2:6" x14ac:dyDescent="0.25">
      <c r="B756" s="130"/>
      <c r="C756" s="72"/>
      <c r="D756" s="75"/>
      <c r="E756" s="131"/>
      <c r="F756" s="90"/>
    </row>
    <row r="757" spans="2:6" x14ac:dyDescent="0.25">
      <c r="B757" s="130"/>
      <c r="C757" s="72"/>
      <c r="D757" s="75"/>
      <c r="E757" s="131"/>
      <c r="F757" s="90"/>
    </row>
    <row r="758" spans="2:6" x14ac:dyDescent="0.25">
      <c r="B758" s="130"/>
      <c r="C758" s="72"/>
      <c r="D758" s="75"/>
      <c r="E758" s="131"/>
      <c r="F758" s="90"/>
    </row>
    <row r="759" spans="2:6" x14ac:dyDescent="0.25">
      <c r="B759" s="130"/>
      <c r="C759" s="72"/>
      <c r="D759" s="75"/>
      <c r="E759" s="131"/>
      <c r="F759" s="90"/>
    </row>
    <row r="760" spans="2:6" x14ac:dyDescent="0.25">
      <c r="B760" s="130"/>
      <c r="C760" s="72"/>
      <c r="D760" s="75"/>
      <c r="E760" s="131"/>
      <c r="F760" s="90"/>
    </row>
    <row r="761" spans="2:6" x14ac:dyDescent="0.25">
      <c r="B761" s="130"/>
      <c r="C761" s="72"/>
      <c r="D761" s="75"/>
      <c r="E761" s="131"/>
      <c r="F761" s="90"/>
    </row>
    <row r="762" spans="2:6" x14ac:dyDescent="0.25">
      <c r="B762" s="130"/>
      <c r="C762" s="72"/>
      <c r="D762" s="75"/>
      <c r="E762" s="131"/>
      <c r="F762" s="90"/>
    </row>
    <row r="763" spans="2:6" x14ac:dyDescent="0.25">
      <c r="B763" s="130"/>
      <c r="C763" s="72"/>
      <c r="D763" s="75"/>
      <c r="E763" s="131"/>
      <c r="F763" s="90"/>
    </row>
    <row r="764" spans="2:6" x14ac:dyDescent="0.25">
      <c r="B764" s="130"/>
      <c r="C764" s="72"/>
      <c r="D764" s="75"/>
      <c r="E764" s="131"/>
      <c r="F764" s="90"/>
    </row>
    <row r="765" spans="2:6" x14ac:dyDescent="0.25">
      <c r="B765" s="130"/>
      <c r="C765" s="72"/>
      <c r="D765" s="75"/>
      <c r="E765" s="131"/>
      <c r="F765" s="90"/>
    </row>
    <row r="766" spans="2:6" x14ac:dyDescent="0.25">
      <c r="B766" s="130"/>
      <c r="C766" s="72"/>
      <c r="D766" s="75"/>
      <c r="E766" s="131"/>
      <c r="F766" s="90"/>
    </row>
    <row r="767" spans="2:6" x14ac:dyDescent="0.25">
      <c r="B767" s="130"/>
      <c r="C767" s="72"/>
      <c r="D767" s="75"/>
      <c r="E767" s="131"/>
      <c r="F767" s="90"/>
    </row>
    <row r="768" spans="2:6" x14ac:dyDescent="0.25">
      <c r="B768" s="130"/>
      <c r="C768" s="72"/>
      <c r="D768" s="75"/>
      <c r="E768" s="131"/>
      <c r="F768" s="90"/>
    </row>
    <row r="769" spans="2:6" x14ac:dyDescent="0.25">
      <c r="B769" s="130"/>
      <c r="C769" s="72"/>
      <c r="D769" s="75"/>
      <c r="E769" s="131"/>
      <c r="F769" s="90"/>
    </row>
    <row r="770" spans="2:6" x14ac:dyDescent="0.25">
      <c r="B770" s="130"/>
      <c r="C770" s="72"/>
      <c r="D770" s="75"/>
      <c r="E770" s="131"/>
      <c r="F770" s="90"/>
    </row>
    <row r="771" spans="2:6" x14ac:dyDescent="0.25">
      <c r="B771" s="130"/>
      <c r="C771" s="72"/>
      <c r="D771" s="75"/>
      <c r="E771" s="131"/>
      <c r="F771" s="90"/>
    </row>
    <row r="772" spans="2:6" x14ac:dyDescent="0.25">
      <c r="B772" s="130"/>
      <c r="C772" s="72"/>
      <c r="D772" s="75"/>
      <c r="E772" s="131"/>
      <c r="F772" s="90"/>
    </row>
    <row r="773" spans="2:6" x14ac:dyDescent="0.25">
      <c r="B773" s="130"/>
      <c r="C773" s="72"/>
      <c r="D773" s="75"/>
      <c r="E773" s="131"/>
      <c r="F773" s="90"/>
    </row>
    <row r="774" spans="2:6" x14ac:dyDescent="0.25">
      <c r="B774" s="130"/>
      <c r="C774" s="72"/>
      <c r="D774" s="75"/>
      <c r="E774" s="131"/>
      <c r="F774" s="90"/>
    </row>
    <row r="775" spans="2:6" x14ac:dyDescent="0.25">
      <c r="B775" s="130"/>
      <c r="C775" s="72"/>
      <c r="D775" s="75"/>
      <c r="E775" s="131"/>
      <c r="F775" s="90"/>
    </row>
    <row r="776" spans="2:6" x14ac:dyDescent="0.25">
      <c r="B776" s="130"/>
      <c r="C776" s="72"/>
      <c r="D776" s="75"/>
      <c r="E776" s="131"/>
      <c r="F776" s="90"/>
    </row>
    <row r="777" spans="2:6" x14ac:dyDescent="0.25">
      <c r="B777" s="130"/>
      <c r="C777" s="72"/>
      <c r="D777" s="75"/>
      <c r="E777" s="131"/>
      <c r="F777" s="90"/>
    </row>
    <row r="778" spans="2:6" x14ac:dyDescent="0.25">
      <c r="B778" s="130"/>
      <c r="C778" s="72"/>
      <c r="D778" s="75"/>
      <c r="E778" s="131"/>
      <c r="F778" s="90"/>
    </row>
    <row r="779" spans="2:6" x14ac:dyDescent="0.25">
      <c r="B779" s="130"/>
      <c r="C779" s="72"/>
      <c r="D779" s="75"/>
      <c r="E779" s="131"/>
      <c r="F779" s="90"/>
    </row>
    <row r="780" spans="2:6" x14ac:dyDescent="0.25">
      <c r="B780" s="130"/>
      <c r="C780" s="72"/>
      <c r="D780" s="75"/>
      <c r="E780" s="131"/>
      <c r="F780" s="90"/>
    </row>
    <row r="781" spans="2:6" x14ac:dyDescent="0.25">
      <c r="B781" s="130"/>
      <c r="C781" s="72"/>
      <c r="D781" s="75"/>
      <c r="E781" s="131"/>
      <c r="F781" s="90"/>
    </row>
    <row r="782" spans="2:6" x14ac:dyDescent="0.25">
      <c r="B782" s="130"/>
      <c r="C782" s="72"/>
      <c r="D782" s="75"/>
      <c r="E782" s="131"/>
      <c r="F782" s="90"/>
    </row>
    <row r="783" spans="2:6" x14ac:dyDescent="0.25">
      <c r="B783" s="130"/>
      <c r="C783" s="72"/>
      <c r="D783" s="75"/>
      <c r="E783" s="131"/>
      <c r="F783" s="90"/>
    </row>
    <row r="784" spans="2:6" x14ac:dyDescent="0.25">
      <c r="B784" s="130"/>
      <c r="C784" s="72"/>
      <c r="D784" s="75"/>
      <c r="E784" s="131"/>
      <c r="F784" s="90"/>
    </row>
    <row r="785" spans="2:6" x14ac:dyDescent="0.25">
      <c r="B785" s="130"/>
      <c r="C785" s="72"/>
      <c r="D785" s="75"/>
      <c r="E785" s="131"/>
      <c r="F785" s="90"/>
    </row>
    <row r="786" spans="2:6" x14ac:dyDescent="0.25">
      <c r="B786" s="130"/>
      <c r="C786" s="72"/>
      <c r="D786" s="75"/>
      <c r="E786" s="131"/>
      <c r="F786" s="90"/>
    </row>
    <row r="787" spans="2:6" x14ac:dyDescent="0.25">
      <c r="B787" s="130"/>
      <c r="C787" s="72"/>
      <c r="D787" s="75"/>
      <c r="E787" s="131"/>
      <c r="F787" s="90"/>
    </row>
    <row r="788" spans="2:6" x14ac:dyDescent="0.25">
      <c r="B788" s="130"/>
      <c r="C788" s="72"/>
      <c r="D788" s="75"/>
      <c r="E788" s="131"/>
      <c r="F788" s="90"/>
    </row>
    <row r="789" spans="2:6" x14ac:dyDescent="0.25">
      <c r="B789" s="130"/>
      <c r="C789" s="72"/>
      <c r="D789" s="75"/>
      <c r="E789" s="131"/>
      <c r="F789" s="90"/>
    </row>
    <row r="790" spans="2:6" x14ac:dyDescent="0.25">
      <c r="B790" s="130"/>
      <c r="C790" s="72"/>
      <c r="D790" s="75"/>
      <c r="E790" s="131"/>
      <c r="F790" s="90"/>
    </row>
    <row r="791" spans="2:6" x14ac:dyDescent="0.25">
      <c r="B791" s="130"/>
      <c r="C791" s="72"/>
      <c r="D791" s="75"/>
      <c r="E791" s="131"/>
      <c r="F791" s="90"/>
    </row>
    <row r="792" spans="2:6" x14ac:dyDescent="0.25">
      <c r="B792" s="130"/>
      <c r="C792" s="72"/>
      <c r="D792" s="75"/>
      <c r="E792" s="131"/>
      <c r="F792" s="90"/>
    </row>
    <row r="793" spans="2:6" x14ac:dyDescent="0.25">
      <c r="B793" s="130"/>
      <c r="C793" s="72"/>
      <c r="D793" s="75"/>
      <c r="E793" s="131"/>
      <c r="F793" s="90"/>
    </row>
    <row r="794" spans="2:6" x14ac:dyDescent="0.25">
      <c r="B794" s="130"/>
      <c r="C794" s="72"/>
      <c r="D794" s="75"/>
      <c r="E794" s="131"/>
      <c r="F794" s="90"/>
    </row>
    <row r="795" spans="2:6" x14ac:dyDescent="0.25">
      <c r="B795" s="130"/>
      <c r="C795" s="72"/>
      <c r="D795" s="75"/>
      <c r="E795" s="131"/>
      <c r="F795" s="90"/>
    </row>
    <row r="796" spans="2:6" x14ac:dyDescent="0.25">
      <c r="B796" s="130"/>
      <c r="C796" s="72"/>
      <c r="D796" s="75"/>
      <c r="E796" s="131"/>
      <c r="F796" s="90"/>
    </row>
    <row r="797" spans="2:6" x14ac:dyDescent="0.25">
      <c r="B797" s="130"/>
      <c r="C797" s="72"/>
      <c r="D797" s="75"/>
      <c r="E797" s="131"/>
      <c r="F797" s="90"/>
    </row>
    <row r="798" spans="2:6" x14ac:dyDescent="0.25">
      <c r="B798" s="130"/>
      <c r="C798" s="72"/>
      <c r="D798" s="75"/>
      <c r="E798" s="131"/>
      <c r="F798" s="90"/>
    </row>
    <row r="799" spans="2:6" x14ac:dyDescent="0.25">
      <c r="B799" s="130"/>
      <c r="C799" s="72"/>
      <c r="D799" s="75"/>
      <c r="E799" s="131"/>
      <c r="F799" s="90"/>
    </row>
    <row r="800" spans="2:6" x14ac:dyDescent="0.25">
      <c r="B800" s="130"/>
      <c r="C800" s="72"/>
      <c r="D800" s="75"/>
      <c r="E800" s="131"/>
      <c r="F800" s="90"/>
    </row>
    <row r="801" spans="2:6" x14ac:dyDescent="0.25">
      <c r="B801" s="130"/>
      <c r="C801" s="72"/>
      <c r="D801" s="75"/>
      <c r="E801" s="131"/>
      <c r="F801" s="90"/>
    </row>
    <row r="802" spans="2:6" x14ac:dyDescent="0.25">
      <c r="B802" s="130"/>
      <c r="C802" s="72"/>
      <c r="D802" s="75"/>
      <c r="E802" s="131"/>
      <c r="F802" s="90"/>
    </row>
    <row r="803" spans="2:6" x14ac:dyDescent="0.25">
      <c r="B803" s="130"/>
      <c r="C803" s="72"/>
      <c r="D803" s="75"/>
      <c r="E803" s="131"/>
      <c r="F803" s="90"/>
    </row>
    <row r="804" spans="2:6" x14ac:dyDescent="0.25">
      <c r="B804" s="130"/>
      <c r="C804" s="72"/>
      <c r="D804" s="75"/>
      <c r="E804" s="131"/>
      <c r="F804" s="90"/>
    </row>
    <row r="805" spans="2:6" x14ac:dyDescent="0.25">
      <c r="B805" s="130"/>
      <c r="C805" s="72"/>
      <c r="D805" s="75"/>
      <c r="E805" s="131"/>
      <c r="F805" s="90"/>
    </row>
    <row r="806" spans="2:6" x14ac:dyDescent="0.25">
      <c r="B806" s="130"/>
      <c r="C806" s="72"/>
      <c r="D806" s="75"/>
      <c r="E806" s="131"/>
      <c r="F806" s="90"/>
    </row>
    <row r="807" spans="2:6" x14ac:dyDescent="0.25">
      <c r="B807" s="130"/>
      <c r="C807" s="72"/>
      <c r="D807" s="75"/>
      <c r="E807" s="131"/>
      <c r="F807" s="90"/>
    </row>
    <row r="808" spans="2:6" x14ac:dyDescent="0.25">
      <c r="B808" s="130"/>
      <c r="C808" s="72"/>
      <c r="D808" s="75"/>
      <c r="E808" s="131"/>
      <c r="F808" s="90"/>
    </row>
    <row r="809" spans="2:6" x14ac:dyDescent="0.25">
      <c r="B809" s="130"/>
      <c r="C809" s="72"/>
      <c r="D809" s="75"/>
      <c r="E809" s="131"/>
      <c r="F809" s="90"/>
    </row>
    <row r="810" spans="2:6" x14ac:dyDescent="0.25">
      <c r="B810" s="130"/>
      <c r="C810" s="72"/>
      <c r="D810" s="75"/>
      <c r="E810" s="131"/>
      <c r="F810" s="90"/>
    </row>
    <row r="811" spans="2:6" x14ac:dyDescent="0.25">
      <c r="B811" s="130"/>
      <c r="C811" s="72"/>
      <c r="D811" s="75"/>
      <c r="E811" s="131"/>
      <c r="F811" s="90"/>
    </row>
    <row r="812" spans="2:6" x14ac:dyDescent="0.25">
      <c r="B812" s="130"/>
      <c r="C812" s="72"/>
      <c r="D812" s="75"/>
      <c r="E812" s="131"/>
      <c r="F812" s="90"/>
    </row>
    <row r="813" spans="2:6" x14ac:dyDescent="0.25">
      <c r="B813" s="130"/>
      <c r="C813" s="72"/>
      <c r="D813" s="75"/>
      <c r="E813" s="131"/>
      <c r="F813" s="90"/>
    </row>
    <row r="814" spans="2:6" x14ac:dyDescent="0.25">
      <c r="B814" s="130"/>
      <c r="C814" s="72"/>
      <c r="D814" s="75"/>
      <c r="E814" s="131"/>
      <c r="F814" s="90"/>
    </row>
    <row r="815" spans="2:6" x14ac:dyDescent="0.25">
      <c r="B815" s="130"/>
      <c r="C815" s="72"/>
      <c r="D815" s="75"/>
      <c r="E815" s="131"/>
      <c r="F815" s="90"/>
    </row>
    <row r="816" spans="2:6" x14ac:dyDescent="0.25">
      <c r="B816" s="130"/>
      <c r="C816" s="72"/>
      <c r="D816" s="75"/>
      <c r="E816" s="131"/>
      <c r="F816" s="90"/>
    </row>
    <row r="817" spans="2:6" x14ac:dyDescent="0.25">
      <c r="B817" s="130"/>
      <c r="C817" s="72"/>
      <c r="D817" s="75"/>
      <c r="E817" s="131"/>
      <c r="F817" s="90"/>
    </row>
    <row r="818" spans="2:6" x14ac:dyDescent="0.25">
      <c r="B818" s="130"/>
      <c r="C818" s="72"/>
      <c r="D818" s="75"/>
      <c r="E818" s="131"/>
      <c r="F818" s="90"/>
    </row>
    <row r="819" spans="2:6" x14ac:dyDescent="0.25">
      <c r="B819" s="130"/>
      <c r="C819" s="72"/>
      <c r="D819" s="75"/>
      <c r="E819" s="131"/>
      <c r="F819" s="90"/>
    </row>
    <row r="820" spans="2:6" x14ac:dyDescent="0.25">
      <c r="B820" s="130"/>
      <c r="C820" s="72"/>
      <c r="D820" s="75"/>
      <c r="E820" s="131"/>
      <c r="F820" s="90"/>
    </row>
    <row r="821" spans="2:6" x14ac:dyDescent="0.25">
      <c r="B821" s="130"/>
      <c r="C821" s="72"/>
      <c r="D821" s="75"/>
      <c r="E821" s="131"/>
      <c r="F821" s="90"/>
    </row>
    <row r="822" spans="2:6" x14ac:dyDescent="0.25">
      <c r="B822" s="130"/>
      <c r="C822" s="72"/>
      <c r="D822" s="75"/>
      <c r="E822" s="131"/>
      <c r="F822" s="90"/>
    </row>
    <row r="823" spans="2:6" x14ac:dyDescent="0.25">
      <c r="B823" s="130"/>
      <c r="C823" s="72"/>
      <c r="D823" s="75"/>
      <c r="E823" s="131"/>
      <c r="F823" s="90"/>
    </row>
    <row r="824" spans="2:6" x14ac:dyDescent="0.25">
      <c r="B824" s="130"/>
      <c r="C824" s="72"/>
      <c r="D824" s="75"/>
      <c r="E824" s="131"/>
      <c r="F824" s="90"/>
    </row>
    <row r="825" spans="2:6" x14ac:dyDescent="0.25">
      <c r="B825" s="130"/>
      <c r="C825" s="72"/>
      <c r="D825" s="75"/>
      <c r="E825" s="131"/>
      <c r="F825" s="90"/>
    </row>
    <row r="826" spans="2:6" x14ac:dyDescent="0.25">
      <c r="B826" s="130"/>
      <c r="C826" s="72"/>
      <c r="D826" s="75"/>
      <c r="E826" s="131"/>
      <c r="F826" s="90"/>
    </row>
    <row r="827" spans="2:6" x14ac:dyDescent="0.25">
      <c r="B827" s="130"/>
      <c r="C827" s="72"/>
      <c r="D827" s="75"/>
      <c r="E827" s="131"/>
      <c r="F827" s="90"/>
    </row>
    <row r="828" spans="2:6" x14ac:dyDescent="0.25">
      <c r="B828" s="130"/>
      <c r="C828" s="72"/>
      <c r="D828" s="75"/>
      <c r="E828" s="131"/>
      <c r="F828" s="90"/>
    </row>
    <row r="829" spans="2:6" x14ac:dyDescent="0.25">
      <c r="B829" s="130"/>
      <c r="C829" s="72"/>
      <c r="D829" s="75"/>
      <c r="E829" s="131"/>
      <c r="F829" s="90"/>
    </row>
    <row r="830" spans="2:6" x14ac:dyDescent="0.25">
      <c r="B830" s="130"/>
      <c r="C830" s="72"/>
      <c r="D830" s="75"/>
      <c r="E830" s="131"/>
      <c r="F830" s="90"/>
    </row>
    <row r="831" spans="2:6" x14ac:dyDescent="0.25">
      <c r="B831" s="130"/>
      <c r="C831" s="72"/>
      <c r="D831" s="75"/>
      <c r="E831" s="131"/>
      <c r="F831" s="90"/>
    </row>
    <row r="832" spans="2:6" x14ac:dyDescent="0.25">
      <c r="B832" s="130"/>
      <c r="C832" s="72"/>
      <c r="D832" s="74"/>
      <c r="E832" s="131"/>
      <c r="F832" s="90"/>
    </row>
    <row r="833" spans="2:6" x14ac:dyDescent="0.25">
      <c r="B833" s="130"/>
      <c r="C833" s="72"/>
      <c r="D833" s="74"/>
      <c r="E833" s="131"/>
      <c r="F833" s="90"/>
    </row>
    <row r="834" spans="2:6" x14ac:dyDescent="0.25">
      <c r="B834" s="130"/>
      <c r="C834" s="72"/>
      <c r="D834" s="74"/>
      <c r="E834" s="131"/>
      <c r="F834" s="90"/>
    </row>
    <row r="835" spans="2:6" x14ac:dyDescent="0.25">
      <c r="B835" s="130"/>
      <c r="C835" s="72"/>
      <c r="D835" s="74"/>
      <c r="E835" s="131"/>
      <c r="F835" s="90"/>
    </row>
    <row r="836" spans="2:6" x14ac:dyDescent="0.25">
      <c r="B836" s="130"/>
      <c r="C836" s="72"/>
      <c r="D836" s="74"/>
      <c r="E836" s="131"/>
      <c r="F836" s="90"/>
    </row>
    <row r="837" spans="2:6" x14ac:dyDescent="0.25">
      <c r="B837" s="130"/>
      <c r="C837" s="72"/>
      <c r="D837" s="74"/>
      <c r="E837" s="131"/>
      <c r="F837" s="90"/>
    </row>
    <row r="838" spans="2:6" x14ac:dyDescent="0.25">
      <c r="B838" s="130"/>
      <c r="C838" s="72"/>
      <c r="D838" s="74"/>
      <c r="E838" s="131"/>
      <c r="F838" s="90"/>
    </row>
    <row r="839" spans="2:6" x14ac:dyDescent="0.25">
      <c r="B839" s="130"/>
      <c r="C839" s="72"/>
      <c r="D839" s="74"/>
      <c r="E839" s="131"/>
      <c r="F839" s="90"/>
    </row>
    <row r="840" spans="2:6" x14ac:dyDescent="0.25">
      <c r="B840" s="130"/>
      <c r="C840" s="72"/>
      <c r="D840" s="74"/>
      <c r="E840" s="131"/>
      <c r="F840" s="90"/>
    </row>
    <row r="841" spans="2:6" x14ac:dyDescent="0.25">
      <c r="B841" s="130"/>
      <c r="C841" s="72"/>
      <c r="D841" s="74"/>
      <c r="E841" s="131"/>
      <c r="F841" s="90"/>
    </row>
    <row r="842" spans="2:6" x14ac:dyDescent="0.25">
      <c r="B842" s="130"/>
      <c r="C842" s="72"/>
      <c r="D842" s="74"/>
      <c r="E842" s="131"/>
      <c r="F842" s="90"/>
    </row>
    <row r="843" spans="2:6" x14ac:dyDescent="0.25">
      <c r="B843" s="130"/>
      <c r="C843" s="72"/>
      <c r="D843" s="74"/>
      <c r="E843" s="131"/>
      <c r="F843" s="90"/>
    </row>
    <row r="844" spans="2:6" x14ac:dyDescent="0.25">
      <c r="B844" s="130"/>
      <c r="C844" s="72"/>
      <c r="D844" s="74"/>
      <c r="E844" s="131"/>
      <c r="F844" s="90"/>
    </row>
    <row r="845" spans="2:6" x14ac:dyDescent="0.25">
      <c r="B845" s="130"/>
      <c r="C845" s="72"/>
      <c r="D845" s="74"/>
      <c r="E845" s="131"/>
      <c r="F845" s="90"/>
    </row>
    <row r="846" spans="2:6" x14ac:dyDescent="0.25">
      <c r="B846" s="130"/>
      <c r="C846" s="72"/>
      <c r="D846" s="74"/>
      <c r="E846" s="131"/>
      <c r="F846" s="90"/>
    </row>
    <row r="847" spans="2:6" x14ac:dyDescent="0.25">
      <c r="B847" s="130"/>
      <c r="C847" s="72"/>
      <c r="D847" s="74"/>
      <c r="E847" s="131"/>
      <c r="F847" s="90"/>
    </row>
    <row r="848" spans="2:6" x14ac:dyDescent="0.25">
      <c r="B848" s="130"/>
      <c r="C848" s="72"/>
      <c r="D848" s="74"/>
      <c r="E848" s="131"/>
      <c r="F848" s="90"/>
    </row>
    <row r="849" spans="2:6" x14ac:dyDescent="0.25">
      <c r="B849" s="130"/>
      <c r="C849" s="72"/>
      <c r="D849" s="74"/>
      <c r="E849" s="131"/>
      <c r="F849" s="90"/>
    </row>
    <row r="850" spans="2:6" x14ac:dyDescent="0.25">
      <c r="B850" s="130"/>
      <c r="C850" s="72"/>
      <c r="D850" s="74"/>
      <c r="E850" s="131"/>
      <c r="F850" s="90"/>
    </row>
    <row r="851" spans="2:6" x14ac:dyDescent="0.25">
      <c r="B851" s="130"/>
      <c r="C851" s="72"/>
      <c r="D851" s="74"/>
      <c r="E851" s="131"/>
      <c r="F851" s="90"/>
    </row>
    <row r="852" spans="2:6" x14ac:dyDescent="0.25">
      <c r="B852" s="130"/>
      <c r="C852" s="72"/>
      <c r="D852" s="74"/>
      <c r="E852" s="131"/>
      <c r="F852" s="90"/>
    </row>
    <row r="853" spans="2:6" x14ac:dyDescent="0.25">
      <c r="B853" s="130"/>
      <c r="C853" s="72"/>
      <c r="D853" s="74"/>
      <c r="E853" s="131"/>
      <c r="F853" s="90"/>
    </row>
    <row r="854" spans="2:6" x14ac:dyDescent="0.25">
      <c r="B854" s="130"/>
      <c r="C854" s="72"/>
      <c r="D854" s="74"/>
      <c r="E854" s="131"/>
      <c r="F854" s="90"/>
    </row>
    <row r="855" spans="2:6" x14ac:dyDescent="0.25">
      <c r="B855" s="130"/>
      <c r="C855" s="72"/>
      <c r="D855" s="74"/>
      <c r="E855" s="131"/>
      <c r="F855" s="90"/>
    </row>
    <row r="856" spans="2:6" x14ac:dyDescent="0.25">
      <c r="B856" s="130"/>
      <c r="C856" s="72"/>
      <c r="D856" s="74"/>
      <c r="E856" s="131"/>
      <c r="F856" s="90"/>
    </row>
    <row r="857" spans="2:6" x14ac:dyDescent="0.25">
      <c r="B857" s="130"/>
      <c r="C857" s="72"/>
      <c r="D857" s="74"/>
      <c r="E857" s="131"/>
      <c r="F857" s="90"/>
    </row>
    <row r="858" spans="2:6" x14ac:dyDescent="0.25">
      <c r="B858" s="130"/>
      <c r="C858" s="72"/>
      <c r="D858" s="74"/>
      <c r="E858" s="131"/>
      <c r="F858" s="90"/>
    </row>
    <row r="859" spans="2:6" x14ac:dyDescent="0.25">
      <c r="B859" s="130"/>
      <c r="C859" s="72"/>
      <c r="D859" s="74"/>
      <c r="E859" s="131"/>
      <c r="F859" s="90"/>
    </row>
    <row r="860" spans="2:6" x14ac:dyDescent="0.25">
      <c r="B860" s="130"/>
      <c r="C860" s="72"/>
      <c r="D860" s="74"/>
      <c r="E860" s="131"/>
      <c r="F860" s="90"/>
    </row>
    <row r="861" spans="2:6" x14ac:dyDescent="0.25">
      <c r="B861" s="130"/>
      <c r="C861" s="72"/>
      <c r="D861" s="74"/>
      <c r="E861" s="131"/>
      <c r="F861" s="90"/>
    </row>
    <row r="862" spans="2:6" x14ac:dyDescent="0.25">
      <c r="B862" s="130"/>
      <c r="C862" s="72"/>
      <c r="D862" s="74"/>
      <c r="E862" s="131"/>
      <c r="F862" s="90"/>
    </row>
    <row r="863" spans="2:6" x14ac:dyDescent="0.25">
      <c r="B863" s="130"/>
      <c r="C863" s="72"/>
      <c r="D863" s="74"/>
      <c r="E863" s="131"/>
      <c r="F863" s="90"/>
    </row>
    <row r="864" spans="2:6" x14ac:dyDescent="0.25">
      <c r="B864" s="130"/>
      <c r="C864" s="72"/>
      <c r="D864" s="74"/>
      <c r="E864" s="131"/>
      <c r="F864" s="90"/>
    </row>
    <row r="865" spans="2:6" x14ac:dyDescent="0.25">
      <c r="B865" s="130"/>
      <c r="C865" s="72"/>
      <c r="D865" s="74"/>
      <c r="E865" s="131"/>
      <c r="F865" s="90"/>
    </row>
    <row r="866" spans="2:6" x14ac:dyDescent="0.25">
      <c r="B866" s="130"/>
      <c r="C866" s="72"/>
      <c r="D866" s="74"/>
      <c r="E866" s="131"/>
      <c r="F866" s="90"/>
    </row>
    <row r="867" spans="2:6" x14ac:dyDescent="0.25">
      <c r="B867" s="130"/>
      <c r="C867" s="72"/>
      <c r="D867" s="74"/>
      <c r="E867" s="131"/>
      <c r="F867" s="90"/>
    </row>
    <row r="868" spans="2:6" x14ac:dyDescent="0.25">
      <c r="B868" s="130"/>
      <c r="C868" s="72"/>
      <c r="D868" s="74"/>
      <c r="E868" s="131"/>
      <c r="F868" s="90"/>
    </row>
    <row r="869" spans="2:6" x14ac:dyDescent="0.25">
      <c r="B869" s="130"/>
      <c r="C869" s="72"/>
      <c r="D869" s="74"/>
      <c r="E869" s="131"/>
      <c r="F869" s="90"/>
    </row>
    <row r="870" spans="2:6" x14ac:dyDescent="0.25">
      <c r="B870" s="130"/>
      <c r="C870" s="72"/>
      <c r="D870" s="74"/>
      <c r="E870" s="131"/>
      <c r="F870" s="90"/>
    </row>
    <row r="871" spans="2:6" x14ac:dyDescent="0.25">
      <c r="B871" s="130"/>
      <c r="C871" s="72"/>
      <c r="D871" s="74"/>
      <c r="E871" s="131"/>
      <c r="F871" s="90"/>
    </row>
    <row r="872" spans="2:6" x14ac:dyDescent="0.25">
      <c r="B872" s="130"/>
      <c r="C872" s="72"/>
      <c r="D872" s="74"/>
      <c r="E872" s="131"/>
      <c r="F872" s="90"/>
    </row>
    <row r="873" spans="2:6" x14ac:dyDescent="0.25">
      <c r="B873" s="130"/>
      <c r="C873" s="72"/>
      <c r="D873" s="74"/>
      <c r="E873" s="131"/>
      <c r="F873" s="90"/>
    </row>
    <row r="874" spans="2:6" x14ac:dyDescent="0.25">
      <c r="B874" s="130"/>
      <c r="C874" s="72"/>
      <c r="D874" s="74"/>
      <c r="E874" s="131"/>
      <c r="F874" s="90"/>
    </row>
    <row r="875" spans="2:6" x14ac:dyDescent="0.25">
      <c r="B875" s="130"/>
      <c r="C875" s="72"/>
      <c r="D875" s="74"/>
      <c r="E875" s="131"/>
      <c r="F875" s="90"/>
    </row>
    <row r="876" spans="2:6" x14ac:dyDescent="0.25">
      <c r="B876" s="130"/>
      <c r="C876" s="72"/>
      <c r="D876" s="74"/>
      <c r="E876" s="131"/>
      <c r="F876" s="90"/>
    </row>
    <row r="877" spans="2:6" x14ac:dyDescent="0.25">
      <c r="B877" s="130"/>
      <c r="C877" s="72"/>
      <c r="D877" s="74"/>
      <c r="E877" s="131"/>
      <c r="F877" s="90"/>
    </row>
    <row r="878" spans="2:6" x14ac:dyDescent="0.25">
      <c r="B878" s="130"/>
      <c r="C878" s="72"/>
      <c r="D878" s="74"/>
      <c r="E878" s="131"/>
      <c r="F878" s="90"/>
    </row>
    <row r="879" spans="2:6" x14ac:dyDescent="0.25">
      <c r="B879" s="130"/>
      <c r="C879" s="72"/>
      <c r="D879" s="74"/>
      <c r="E879" s="131"/>
      <c r="F879" s="90"/>
    </row>
    <row r="880" spans="2:6" x14ac:dyDescent="0.25">
      <c r="B880" s="130"/>
      <c r="C880" s="72"/>
      <c r="D880" s="74"/>
      <c r="E880" s="131"/>
      <c r="F880" s="90"/>
    </row>
    <row r="881" spans="2:6" x14ac:dyDescent="0.25">
      <c r="B881" s="130"/>
      <c r="C881" s="72"/>
      <c r="D881" s="74"/>
      <c r="E881" s="131"/>
      <c r="F881" s="90"/>
    </row>
    <row r="882" spans="2:6" x14ac:dyDescent="0.25">
      <c r="B882" s="130"/>
      <c r="C882" s="72"/>
      <c r="D882" s="74"/>
      <c r="E882" s="131"/>
      <c r="F882" s="90"/>
    </row>
    <row r="883" spans="2:6" x14ac:dyDescent="0.25">
      <c r="B883" s="130"/>
      <c r="C883" s="72"/>
      <c r="D883" s="74"/>
      <c r="E883" s="131"/>
      <c r="F883" s="90"/>
    </row>
    <row r="884" spans="2:6" x14ac:dyDescent="0.25">
      <c r="B884" s="130"/>
      <c r="C884" s="72"/>
      <c r="D884" s="74"/>
      <c r="E884" s="131"/>
      <c r="F884" s="90"/>
    </row>
    <row r="885" spans="2:6" x14ac:dyDescent="0.25">
      <c r="B885" s="130"/>
      <c r="C885" s="72"/>
      <c r="D885" s="74"/>
      <c r="E885" s="131"/>
      <c r="F885" s="90"/>
    </row>
    <row r="886" spans="2:6" x14ac:dyDescent="0.25">
      <c r="B886" s="130"/>
      <c r="C886" s="72"/>
      <c r="D886" s="74"/>
      <c r="E886" s="131"/>
      <c r="F886" s="90"/>
    </row>
    <row r="887" spans="2:6" x14ac:dyDescent="0.25">
      <c r="B887" s="130"/>
      <c r="C887" s="72"/>
      <c r="D887" s="74"/>
      <c r="E887" s="131"/>
      <c r="F887" s="90"/>
    </row>
    <row r="888" spans="2:6" x14ac:dyDescent="0.25">
      <c r="B888" s="130"/>
      <c r="C888" s="72"/>
      <c r="D888" s="74"/>
      <c r="E888" s="131"/>
      <c r="F888" s="90"/>
    </row>
    <row r="889" spans="2:6" x14ac:dyDescent="0.25">
      <c r="B889" s="130"/>
      <c r="C889" s="72"/>
      <c r="D889" s="74"/>
      <c r="E889" s="131"/>
      <c r="F889" s="90"/>
    </row>
    <row r="890" spans="2:6" x14ac:dyDescent="0.25">
      <c r="B890" s="130"/>
      <c r="C890" s="72"/>
      <c r="D890" s="74"/>
      <c r="E890" s="131"/>
      <c r="F890" s="90"/>
    </row>
    <row r="891" spans="2:6" x14ac:dyDescent="0.25">
      <c r="B891" s="130"/>
      <c r="C891" s="72"/>
      <c r="D891" s="74"/>
      <c r="E891" s="131"/>
      <c r="F891" s="90"/>
    </row>
    <row r="892" spans="2:6" x14ac:dyDescent="0.25">
      <c r="B892" s="130"/>
      <c r="C892" s="72"/>
      <c r="D892" s="74"/>
      <c r="E892" s="131"/>
      <c r="F892" s="90"/>
    </row>
    <row r="893" spans="2:6" x14ac:dyDescent="0.25">
      <c r="B893" s="130"/>
      <c r="C893" s="72"/>
      <c r="D893" s="74"/>
      <c r="E893" s="131"/>
      <c r="F893" s="90"/>
    </row>
    <row r="894" spans="2:6" x14ac:dyDescent="0.25">
      <c r="B894" s="130"/>
      <c r="C894" s="72"/>
      <c r="D894" s="74"/>
      <c r="E894" s="131"/>
      <c r="F894" s="90"/>
    </row>
    <row r="895" spans="2:6" x14ac:dyDescent="0.25">
      <c r="B895" s="130"/>
      <c r="C895" s="72"/>
      <c r="D895" s="74"/>
      <c r="E895" s="131"/>
      <c r="F895" s="90"/>
    </row>
    <row r="896" spans="2:6" x14ac:dyDescent="0.25">
      <c r="B896" s="130"/>
      <c r="C896" s="72"/>
      <c r="D896" s="74"/>
      <c r="E896" s="131"/>
      <c r="F896" s="90"/>
    </row>
    <row r="897" spans="2:6" x14ac:dyDescent="0.25">
      <c r="B897" s="130"/>
      <c r="C897" s="72"/>
      <c r="D897" s="74"/>
      <c r="E897" s="131"/>
      <c r="F897" s="90"/>
    </row>
    <row r="898" spans="2:6" x14ac:dyDescent="0.25">
      <c r="B898" s="130"/>
      <c r="C898" s="72"/>
      <c r="D898" s="74"/>
      <c r="E898" s="131"/>
      <c r="F898" s="90"/>
    </row>
    <row r="899" spans="2:6" x14ac:dyDescent="0.25">
      <c r="B899" s="130"/>
      <c r="C899" s="72"/>
      <c r="D899" s="74"/>
      <c r="E899" s="131"/>
      <c r="F899" s="90"/>
    </row>
    <row r="900" spans="2:6" x14ac:dyDescent="0.25">
      <c r="B900" s="130"/>
      <c r="C900" s="72"/>
      <c r="D900" s="74"/>
      <c r="E900" s="131"/>
      <c r="F900" s="90"/>
    </row>
    <row r="901" spans="2:6" x14ac:dyDescent="0.25">
      <c r="B901" s="130"/>
      <c r="C901" s="72"/>
      <c r="D901" s="74"/>
      <c r="E901" s="131"/>
      <c r="F901" s="90"/>
    </row>
    <row r="902" spans="2:6" x14ac:dyDescent="0.25">
      <c r="B902" s="130"/>
      <c r="C902" s="72"/>
      <c r="D902" s="74"/>
      <c r="E902" s="131"/>
      <c r="F902" s="90"/>
    </row>
    <row r="903" spans="2:6" x14ac:dyDescent="0.25">
      <c r="B903" s="130"/>
      <c r="C903" s="72"/>
      <c r="D903" s="74"/>
      <c r="E903" s="131"/>
      <c r="F903" s="90"/>
    </row>
    <row r="904" spans="2:6" x14ac:dyDescent="0.25">
      <c r="B904" s="130"/>
      <c r="C904" s="72"/>
      <c r="D904" s="74"/>
      <c r="E904" s="131"/>
      <c r="F904" s="90"/>
    </row>
    <row r="905" spans="2:6" x14ac:dyDescent="0.25">
      <c r="B905" s="130"/>
      <c r="C905" s="72"/>
      <c r="D905" s="74"/>
      <c r="E905" s="131"/>
      <c r="F905" s="90"/>
    </row>
    <row r="906" spans="2:6" x14ac:dyDescent="0.25">
      <c r="B906" s="130"/>
      <c r="C906" s="72"/>
      <c r="D906" s="74"/>
      <c r="E906" s="131"/>
      <c r="F906" s="90"/>
    </row>
    <row r="907" spans="2:6" x14ac:dyDescent="0.25">
      <c r="B907" s="130"/>
      <c r="C907" s="72"/>
      <c r="D907" s="74"/>
      <c r="E907" s="131"/>
      <c r="F907" s="90"/>
    </row>
    <row r="908" spans="2:6" x14ac:dyDescent="0.25">
      <c r="B908" s="130"/>
      <c r="C908" s="72"/>
      <c r="D908" s="74"/>
      <c r="E908" s="131"/>
      <c r="F908" s="90"/>
    </row>
    <row r="909" spans="2:6" x14ac:dyDescent="0.25">
      <c r="B909" s="130"/>
      <c r="C909" s="72"/>
      <c r="D909" s="74"/>
      <c r="E909" s="131"/>
      <c r="F909" s="90"/>
    </row>
    <row r="910" spans="2:6" x14ac:dyDescent="0.25">
      <c r="B910" s="130"/>
      <c r="C910" s="72"/>
      <c r="D910" s="74"/>
      <c r="E910" s="131"/>
      <c r="F910" s="90"/>
    </row>
    <row r="911" spans="2:6" x14ac:dyDescent="0.25">
      <c r="B911" s="130"/>
      <c r="C911" s="72"/>
      <c r="D911" s="74"/>
      <c r="E911" s="131"/>
      <c r="F911" s="90"/>
    </row>
    <row r="912" spans="2:6" x14ac:dyDescent="0.25">
      <c r="B912" s="130"/>
      <c r="C912" s="72"/>
      <c r="D912" s="74"/>
      <c r="E912" s="131"/>
      <c r="F912" s="90"/>
    </row>
    <row r="913" spans="2:6" x14ac:dyDescent="0.25">
      <c r="B913" s="130"/>
      <c r="C913" s="72"/>
      <c r="D913" s="74"/>
      <c r="E913" s="131"/>
      <c r="F913" s="90"/>
    </row>
    <row r="914" spans="2:6" x14ac:dyDescent="0.25">
      <c r="B914" s="130"/>
      <c r="C914" s="72"/>
      <c r="D914" s="74"/>
      <c r="E914" s="131"/>
      <c r="F914" s="90"/>
    </row>
    <row r="915" spans="2:6" x14ac:dyDescent="0.25">
      <c r="B915" s="130"/>
      <c r="C915" s="72"/>
      <c r="D915" s="74"/>
      <c r="E915" s="131"/>
      <c r="F915" s="90"/>
    </row>
    <row r="916" spans="2:6" x14ac:dyDescent="0.25">
      <c r="B916" s="130"/>
      <c r="C916" s="72"/>
      <c r="D916" s="74"/>
      <c r="E916" s="131"/>
      <c r="F916" s="90"/>
    </row>
    <row r="917" spans="2:6" x14ac:dyDescent="0.25">
      <c r="B917" s="130"/>
      <c r="C917" s="72"/>
      <c r="D917" s="74"/>
      <c r="E917" s="131"/>
      <c r="F917" s="90"/>
    </row>
    <row r="918" spans="2:6" x14ac:dyDescent="0.25">
      <c r="B918" s="130"/>
      <c r="C918" s="72"/>
      <c r="D918" s="74"/>
      <c r="E918" s="131"/>
      <c r="F918" s="90"/>
    </row>
    <row r="919" spans="2:6" x14ac:dyDescent="0.25">
      <c r="B919" s="130"/>
      <c r="C919" s="72"/>
      <c r="D919" s="74"/>
      <c r="E919" s="131"/>
      <c r="F919" s="90"/>
    </row>
    <row r="920" spans="2:6" x14ac:dyDescent="0.25">
      <c r="B920" s="130"/>
      <c r="C920" s="72"/>
      <c r="D920" s="74"/>
      <c r="E920" s="131"/>
      <c r="F920" s="90"/>
    </row>
    <row r="921" spans="2:6" x14ac:dyDescent="0.25">
      <c r="B921" s="130"/>
      <c r="C921" s="72"/>
      <c r="D921" s="74"/>
      <c r="E921" s="131"/>
      <c r="F921" s="90"/>
    </row>
    <row r="922" spans="2:6" x14ac:dyDescent="0.25">
      <c r="B922" s="130"/>
      <c r="C922" s="72"/>
      <c r="D922" s="74"/>
      <c r="E922" s="131"/>
      <c r="F922" s="90"/>
    </row>
    <row r="923" spans="2:6" x14ac:dyDescent="0.25">
      <c r="B923" s="130"/>
      <c r="C923" s="72"/>
      <c r="D923" s="74"/>
      <c r="E923" s="131"/>
      <c r="F923" s="90"/>
    </row>
    <row r="924" spans="2:6" x14ac:dyDescent="0.25">
      <c r="B924" s="130"/>
      <c r="C924" s="72"/>
      <c r="D924" s="74"/>
      <c r="E924" s="131"/>
      <c r="F924" s="90"/>
    </row>
    <row r="925" spans="2:6" x14ac:dyDescent="0.25">
      <c r="B925" s="130"/>
      <c r="C925" s="72"/>
      <c r="D925" s="74"/>
      <c r="E925" s="131"/>
      <c r="F925" s="90"/>
    </row>
    <row r="926" spans="2:6" x14ac:dyDescent="0.25">
      <c r="B926" s="130"/>
      <c r="C926" s="72"/>
      <c r="D926" s="74"/>
      <c r="E926" s="131"/>
      <c r="F926" s="90"/>
    </row>
    <row r="927" spans="2:6" x14ac:dyDescent="0.25">
      <c r="B927" s="130"/>
      <c r="C927" s="72"/>
      <c r="D927" s="74"/>
      <c r="E927" s="131"/>
      <c r="F927" s="90"/>
    </row>
    <row r="928" spans="2:6" x14ac:dyDescent="0.25">
      <c r="B928" s="130"/>
      <c r="C928" s="72"/>
      <c r="D928" s="74"/>
      <c r="E928" s="131"/>
      <c r="F928" s="90"/>
    </row>
    <row r="929" spans="2:6" x14ac:dyDescent="0.25">
      <c r="B929" s="130"/>
      <c r="C929" s="72"/>
      <c r="D929" s="74"/>
      <c r="E929" s="131"/>
      <c r="F929" s="90"/>
    </row>
    <row r="930" spans="2:6" x14ac:dyDescent="0.25">
      <c r="B930" s="130"/>
      <c r="C930" s="72"/>
      <c r="D930" s="74"/>
      <c r="E930" s="131"/>
      <c r="F930" s="90"/>
    </row>
    <row r="931" spans="2:6" x14ac:dyDescent="0.25">
      <c r="B931" s="130"/>
      <c r="C931" s="72"/>
      <c r="D931" s="74"/>
      <c r="E931" s="131"/>
      <c r="F931" s="90"/>
    </row>
    <row r="932" spans="2:6" x14ac:dyDescent="0.25">
      <c r="B932" s="130"/>
      <c r="C932" s="72"/>
      <c r="D932" s="72"/>
      <c r="E932" s="131"/>
      <c r="F932" s="90"/>
    </row>
    <row r="933" spans="2:6" x14ac:dyDescent="0.25">
      <c r="B933" s="130"/>
      <c r="C933" s="72"/>
      <c r="D933" s="72"/>
      <c r="E933" s="131"/>
      <c r="F933" s="90"/>
    </row>
    <row r="934" spans="2:6" x14ac:dyDescent="0.25">
      <c r="B934" s="130"/>
      <c r="C934" s="72"/>
      <c r="D934" s="72"/>
      <c r="E934" s="131"/>
      <c r="F934" s="90"/>
    </row>
    <row r="935" spans="2:6" x14ac:dyDescent="0.25">
      <c r="B935" s="130"/>
      <c r="C935" s="72"/>
      <c r="D935" s="72"/>
      <c r="E935" s="131"/>
      <c r="F935" s="90"/>
    </row>
    <row r="936" spans="2:6" x14ac:dyDescent="0.25">
      <c r="B936" s="130"/>
      <c r="C936" s="72"/>
      <c r="D936" s="72"/>
      <c r="E936" s="131"/>
      <c r="F936" s="90"/>
    </row>
    <row r="937" spans="2:6" x14ac:dyDescent="0.25">
      <c r="B937" s="130"/>
      <c r="C937" s="72"/>
      <c r="D937" s="72"/>
      <c r="E937" s="131"/>
      <c r="F937" s="90"/>
    </row>
    <row r="938" spans="2:6" x14ac:dyDescent="0.25">
      <c r="B938" s="130"/>
      <c r="C938" s="72"/>
      <c r="D938" s="72"/>
      <c r="E938" s="131"/>
      <c r="F938" s="90"/>
    </row>
    <row r="939" spans="2:6" x14ac:dyDescent="0.25">
      <c r="B939" s="130"/>
      <c r="C939" s="72"/>
      <c r="D939" s="72"/>
      <c r="E939" s="131"/>
      <c r="F939" s="90"/>
    </row>
    <row r="940" spans="2:6" x14ac:dyDescent="0.25">
      <c r="B940" s="130"/>
      <c r="C940" s="72"/>
      <c r="D940" s="72"/>
      <c r="E940" s="131"/>
      <c r="F940" s="90"/>
    </row>
    <row r="941" spans="2:6" x14ac:dyDescent="0.25">
      <c r="B941" s="130"/>
      <c r="C941" s="72"/>
      <c r="D941" s="72"/>
      <c r="E941" s="131"/>
      <c r="F941" s="90"/>
    </row>
    <row r="942" spans="2:6" x14ac:dyDescent="0.25">
      <c r="B942" s="130"/>
      <c r="C942" s="72"/>
      <c r="D942" s="72"/>
      <c r="E942" s="131"/>
      <c r="F942" s="90"/>
    </row>
    <row r="943" spans="2:6" x14ac:dyDescent="0.25">
      <c r="B943" s="130"/>
      <c r="C943" s="72"/>
      <c r="D943" s="72"/>
      <c r="E943" s="131"/>
      <c r="F943" s="90"/>
    </row>
    <row r="944" spans="2:6" x14ac:dyDescent="0.25">
      <c r="B944" s="130"/>
      <c r="C944" s="72"/>
      <c r="D944" s="72"/>
      <c r="E944" s="131"/>
      <c r="F944" s="90"/>
    </row>
    <row r="945" spans="2:6" x14ac:dyDescent="0.25">
      <c r="B945" s="130"/>
      <c r="C945" s="72"/>
      <c r="D945" s="72"/>
      <c r="E945" s="131"/>
      <c r="F945" s="90"/>
    </row>
    <row r="946" spans="2:6" x14ac:dyDescent="0.25">
      <c r="B946" s="130"/>
      <c r="C946" s="72"/>
      <c r="D946" s="72"/>
      <c r="E946" s="131"/>
      <c r="F946" s="90"/>
    </row>
    <row r="947" spans="2:6" x14ac:dyDescent="0.25">
      <c r="B947" s="130"/>
      <c r="C947" s="72"/>
      <c r="D947" s="72"/>
      <c r="E947" s="131"/>
      <c r="F947" s="90"/>
    </row>
    <row r="948" spans="2:6" x14ac:dyDescent="0.25">
      <c r="B948" s="130"/>
      <c r="C948" s="72"/>
      <c r="D948" s="72"/>
      <c r="E948" s="131"/>
      <c r="F948" s="90"/>
    </row>
    <row r="949" spans="2:6" x14ac:dyDescent="0.25">
      <c r="B949" s="130"/>
      <c r="C949" s="72"/>
      <c r="D949" s="72"/>
      <c r="E949" s="131"/>
      <c r="F949" s="90"/>
    </row>
    <row r="950" spans="2:6" x14ac:dyDescent="0.25">
      <c r="B950" s="130"/>
      <c r="C950" s="72"/>
      <c r="D950" s="72"/>
      <c r="E950" s="131"/>
      <c r="F950" s="90"/>
    </row>
    <row r="951" spans="2:6" x14ac:dyDescent="0.25">
      <c r="B951" s="130"/>
      <c r="C951" s="72"/>
      <c r="D951" s="72"/>
      <c r="E951" s="131"/>
      <c r="F951" s="90"/>
    </row>
    <row r="952" spans="2:6" x14ac:dyDescent="0.25">
      <c r="B952" s="130"/>
      <c r="C952" s="72"/>
      <c r="D952" s="72"/>
      <c r="E952" s="131"/>
      <c r="F952" s="90"/>
    </row>
    <row r="953" spans="2:6" x14ac:dyDescent="0.25">
      <c r="B953" s="130"/>
      <c r="C953" s="72"/>
      <c r="D953" s="72"/>
      <c r="E953" s="131"/>
      <c r="F953" s="90"/>
    </row>
    <row r="954" spans="2:6" x14ac:dyDescent="0.25">
      <c r="B954" s="130"/>
      <c r="C954" s="72"/>
      <c r="D954" s="72"/>
      <c r="E954" s="131"/>
      <c r="F954" s="90"/>
    </row>
    <row r="955" spans="2:6" x14ac:dyDescent="0.25">
      <c r="B955" s="130"/>
      <c r="C955" s="72"/>
      <c r="D955" s="72"/>
      <c r="E955" s="131"/>
      <c r="F955" s="90"/>
    </row>
    <row r="956" spans="2:6" x14ac:dyDescent="0.25">
      <c r="B956" s="130"/>
      <c r="C956" s="72"/>
      <c r="D956" s="72"/>
      <c r="E956" s="131"/>
      <c r="F956" s="90"/>
    </row>
    <row r="957" spans="2:6" x14ac:dyDescent="0.25">
      <c r="B957" s="130"/>
      <c r="C957" s="72"/>
      <c r="D957" s="72"/>
      <c r="E957" s="131"/>
      <c r="F957" s="90"/>
    </row>
    <row r="958" spans="2:6" x14ac:dyDescent="0.25">
      <c r="B958" s="130"/>
      <c r="C958" s="72"/>
      <c r="D958" s="72"/>
      <c r="E958" s="131"/>
      <c r="F958" s="90"/>
    </row>
    <row r="959" spans="2:6" x14ac:dyDescent="0.25">
      <c r="B959" s="130"/>
      <c r="C959" s="72"/>
      <c r="D959" s="72"/>
      <c r="E959" s="131"/>
      <c r="F959" s="90"/>
    </row>
    <row r="960" spans="2:6" x14ac:dyDescent="0.25">
      <c r="B960" s="130"/>
      <c r="C960" s="72"/>
      <c r="D960" s="72"/>
      <c r="E960" s="131"/>
      <c r="F960" s="90"/>
    </row>
    <row r="961" spans="2:6" x14ac:dyDescent="0.25">
      <c r="B961" s="130"/>
      <c r="C961" s="72"/>
      <c r="D961" s="72"/>
      <c r="E961" s="131"/>
      <c r="F961" s="90"/>
    </row>
    <row r="962" spans="2:6" x14ac:dyDescent="0.25">
      <c r="B962" s="130"/>
      <c r="C962" s="72"/>
      <c r="D962" s="72"/>
      <c r="E962" s="131"/>
      <c r="F962" s="90"/>
    </row>
    <row r="963" spans="2:6" x14ac:dyDescent="0.25">
      <c r="B963" s="130"/>
      <c r="C963" s="72"/>
      <c r="D963" s="72"/>
      <c r="E963" s="131"/>
      <c r="F963" s="90"/>
    </row>
    <row r="964" spans="2:6" x14ac:dyDescent="0.25">
      <c r="B964" s="130"/>
      <c r="C964" s="72"/>
      <c r="D964" s="72"/>
      <c r="E964" s="131"/>
      <c r="F964" s="90"/>
    </row>
    <row r="965" spans="2:6" x14ac:dyDescent="0.25">
      <c r="B965" s="130"/>
      <c r="C965" s="72"/>
      <c r="D965" s="72"/>
      <c r="E965" s="131"/>
      <c r="F965" s="90"/>
    </row>
    <row r="966" spans="2:6" x14ac:dyDescent="0.25">
      <c r="B966" s="130"/>
      <c r="C966" s="72"/>
      <c r="D966" s="72"/>
      <c r="E966" s="131"/>
      <c r="F966" s="90"/>
    </row>
    <row r="967" spans="2:6" x14ac:dyDescent="0.25">
      <c r="B967" s="130"/>
      <c r="C967" s="72"/>
      <c r="D967" s="72"/>
      <c r="E967" s="131"/>
      <c r="F967" s="90"/>
    </row>
    <row r="968" spans="2:6" x14ac:dyDescent="0.25">
      <c r="B968" s="130"/>
      <c r="C968" s="72"/>
      <c r="D968" s="72"/>
      <c r="E968" s="131"/>
      <c r="F968" s="90"/>
    </row>
    <row r="969" spans="2:6" x14ac:dyDescent="0.25">
      <c r="B969" s="130"/>
      <c r="C969" s="72"/>
      <c r="D969" s="72"/>
      <c r="E969" s="131"/>
      <c r="F969" s="90"/>
    </row>
    <row r="970" spans="2:6" x14ac:dyDescent="0.25">
      <c r="B970" s="130"/>
      <c r="C970" s="72"/>
      <c r="D970" s="72"/>
      <c r="E970" s="131"/>
      <c r="F970" s="90"/>
    </row>
    <row r="971" spans="2:6" x14ac:dyDescent="0.25">
      <c r="B971" s="130"/>
      <c r="C971" s="72"/>
      <c r="D971" s="72"/>
      <c r="E971" s="131"/>
      <c r="F971" s="90"/>
    </row>
    <row r="972" spans="2:6" x14ac:dyDescent="0.25">
      <c r="B972" s="130"/>
      <c r="C972" s="72"/>
      <c r="D972" s="72"/>
      <c r="E972" s="131"/>
      <c r="F972" s="90"/>
    </row>
    <row r="973" spans="2:6" x14ac:dyDescent="0.25">
      <c r="B973" s="132"/>
      <c r="C973" s="31"/>
      <c r="D973" s="31"/>
      <c r="E973" s="16"/>
      <c r="F973" s="8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projectCombo">
          <controlPr defaultSize="0" autoLine="0" autoPict="0" r:id="rId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2038350</xdr:colOff>
                <xdr:row>4</xdr:row>
                <xdr:rowOff>0</xdr:rowOff>
              </to>
            </anchor>
          </controlPr>
        </control>
      </mc:Choice>
      <mc:Fallback>
        <control shapeId="3073" r:id="rId4" name="projectCombo"/>
      </mc:Fallback>
    </mc:AlternateContent>
    <mc:AlternateContent xmlns:mc="http://schemas.openxmlformats.org/markup-compatibility/2006">
      <mc:Choice Requires="x14">
        <control shapeId="3075" r:id="rId6" name="buttonRefresh">
          <controlPr defaultSize="0" autoLine="0" r:id="rId7">
            <anchor moveWithCells="1">
              <from>
                <xdr:col>2</xdr:col>
                <xdr:colOff>85725</xdr:colOff>
                <xdr:row>1</xdr:row>
                <xdr:rowOff>0</xdr:rowOff>
              </from>
              <to>
                <xdr:col>3</xdr:col>
                <xdr:colOff>19050</xdr:colOff>
                <xdr:row>1</xdr:row>
                <xdr:rowOff>304800</xdr:rowOff>
              </to>
            </anchor>
          </controlPr>
        </control>
      </mc:Choice>
      <mc:Fallback>
        <control shapeId="3075" r:id="rId6" name="buttonRefresh"/>
      </mc:Fallback>
    </mc:AlternateContent>
    <mc:AlternateContent xmlns:mc="http://schemas.openxmlformats.org/markup-compatibility/2006">
      <mc:Choice Requires="x14">
        <control shapeId="3076" r:id="rId8" name="buildCombo">
          <controlPr defaultSize="0" autoLine="0" r:id="rId9">
            <anchor moveWithCells="1">
              <from>
                <xdr:col>2</xdr:col>
                <xdr:colOff>28575</xdr:colOff>
                <xdr:row>5</xdr:row>
                <xdr:rowOff>57150</xdr:rowOff>
              </from>
              <to>
                <xdr:col>3</xdr:col>
                <xdr:colOff>2038350</xdr:colOff>
                <xdr:row>6</xdr:row>
                <xdr:rowOff>19050</xdr:rowOff>
              </to>
            </anchor>
          </controlPr>
        </control>
      </mc:Choice>
      <mc:Fallback>
        <control shapeId="3076" r:id="rId8" name="build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5000"/>
  <sheetViews>
    <sheetView zoomScaleNormal="100" workbookViewId="0">
      <pane ySplit="10" topLeftCell="A11" activePane="bottomLeft" state="frozen"/>
      <selection pane="bottomLeft" activeCell="C11" sqref="C11"/>
    </sheetView>
  </sheetViews>
  <sheetFormatPr defaultRowHeight="15" x14ac:dyDescent="0.25"/>
  <cols>
    <col min="1" max="1" width="4.42578125" customWidth="1"/>
    <col min="2" max="2" width="7.7109375" customWidth="1"/>
    <col min="3" max="3" width="65.7109375" customWidth="1"/>
    <col min="4" max="4" width="10" customWidth="1"/>
    <col min="5" max="5" width="7.42578125" customWidth="1"/>
    <col min="6" max="6" width="10.85546875" customWidth="1"/>
    <col min="7" max="7" width="10.7109375" customWidth="1"/>
    <col min="8" max="8" width="10.5703125" customWidth="1"/>
    <col min="9" max="9" width="11.28515625" customWidth="1"/>
    <col min="10" max="10" width="7.85546875" customWidth="1"/>
    <col min="11" max="11" width="10.140625" customWidth="1"/>
    <col min="12" max="12" width="11.85546875" customWidth="1"/>
    <col min="13" max="13" width="12.28515625" customWidth="1"/>
    <col min="23" max="23" width="15.42578125" customWidth="1"/>
    <col min="24" max="24" width="14.42578125" customWidth="1"/>
    <col min="25" max="25" width="15.7109375" customWidth="1"/>
    <col min="26" max="26" width="15.85546875" customWidth="1"/>
    <col min="27" max="27" width="15.5703125" customWidth="1"/>
  </cols>
  <sheetData>
    <row r="1" spans="1:36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107"/>
      <c r="R1" s="107"/>
      <c r="S1" s="107"/>
      <c r="T1" s="107"/>
    </row>
    <row r="2" spans="1:36" ht="28.5" x14ac:dyDescent="0.45">
      <c r="A2" s="55"/>
      <c r="B2" s="57" t="s">
        <v>56</v>
      </c>
      <c r="C2" s="56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07"/>
      <c r="R2" s="107"/>
      <c r="S2" s="107"/>
      <c r="T2" s="107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</row>
    <row r="3" spans="1:36" x14ac:dyDescent="0.25">
      <c r="Q3" s="107"/>
      <c r="R3" s="107"/>
      <c r="S3" s="107"/>
      <c r="T3" s="107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</row>
    <row r="4" spans="1:36" x14ac:dyDescent="0.25">
      <c r="B4" s="136" t="s">
        <v>102</v>
      </c>
      <c r="C4" s="29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07"/>
      <c r="R4" s="107"/>
      <c r="S4" s="107"/>
      <c r="T4" s="107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44"/>
      <c r="AI4" s="44"/>
      <c r="AJ4" s="44"/>
    </row>
    <row r="5" spans="1:36" x14ac:dyDescent="0.25">
      <c r="B5" s="29"/>
      <c r="C5" s="30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07"/>
      <c r="R5" s="107"/>
      <c r="S5" s="107"/>
      <c r="T5" s="107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</row>
    <row r="6" spans="1:36" x14ac:dyDescent="0.25">
      <c r="B6" s="29" t="s">
        <v>87</v>
      </c>
      <c r="C6" s="30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07"/>
      <c r="R6" s="107"/>
      <c r="S6" s="107"/>
      <c r="T6" s="107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</row>
    <row r="7" spans="1:36" x14ac:dyDescent="0.25">
      <c r="B7" s="29"/>
      <c r="C7" s="30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07"/>
      <c r="R7" s="107"/>
      <c r="S7" s="107"/>
      <c r="T7" s="107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</row>
    <row r="8" spans="1:36" x14ac:dyDescent="0.25">
      <c r="Q8" s="107"/>
      <c r="R8" s="107"/>
      <c r="S8" s="107"/>
      <c r="T8" s="107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</row>
    <row r="9" spans="1:36" x14ac:dyDescent="0.25">
      <c r="B9" s="65" t="s">
        <v>58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107"/>
      <c r="R9" s="107"/>
      <c r="S9" s="107"/>
      <c r="T9" s="107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44"/>
      <c r="AI9" s="44"/>
      <c r="AJ9" s="44"/>
    </row>
    <row r="10" spans="1:36" ht="74.25" customHeight="1" x14ac:dyDescent="0.25">
      <c r="B10" s="92" t="s">
        <v>57</v>
      </c>
      <c r="C10" s="99" t="s">
        <v>82</v>
      </c>
      <c r="D10" s="144" t="s">
        <v>81</v>
      </c>
      <c r="E10" s="144" t="s">
        <v>80</v>
      </c>
      <c r="F10" s="145" t="s">
        <v>90</v>
      </c>
      <c r="G10" s="144" t="s">
        <v>86</v>
      </c>
      <c r="H10" s="144" t="s">
        <v>85</v>
      </c>
      <c r="I10" s="144" t="s">
        <v>96</v>
      </c>
      <c r="J10" s="144" t="s">
        <v>88</v>
      </c>
      <c r="K10" s="144" t="s">
        <v>110</v>
      </c>
      <c r="L10" s="146" t="s">
        <v>83</v>
      </c>
      <c r="M10" s="146" t="s">
        <v>84</v>
      </c>
      <c r="N10" s="98"/>
      <c r="O10" s="98"/>
      <c r="P10" s="105"/>
      <c r="Q10" s="107"/>
      <c r="R10" s="107"/>
      <c r="S10" s="107"/>
      <c r="T10" s="107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44"/>
      <c r="AI10" s="44"/>
      <c r="AJ10" s="44"/>
    </row>
    <row r="11" spans="1:36" x14ac:dyDescent="0.25">
      <c r="B11" s="68">
        <v>6</v>
      </c>
      <c r="C11" s="68" t="s">
        <v>134</v>
      </c>
      <c r="D11" s="70">
        <v>1</v>
      </c>
      <c r="E11" s="68">
        <v>1</v>
      </c>
      <c r="F11" s="96">
        <v>1</v>
      </c>
      <c r="G11" s="95">
        <f>IF(D11&lt;&gt;"", D11/E11, "")</f>
        <v>1</v>
      </c>
      <c r="H11" s="91">
        <f>IF(E11&lt;&gt;"",E11/'Project Summary'!$C$9,"")</f>
        <v>1</v>
      </c>
      <c r="I11" s="97">
        <f>IF(F11&lt;&gt;"",F11/'Project Summary'!$C$10, "")</f>
        <v>1</v>
      </c>
      <c r="J11" s="68">
        <v>1</v>
      </c>
      <c r="K11" s="69"/>
      <c r="L11" s="102" t="s">
        <v>132</v>
      </c>
      <c r="M11" s="102" t="s">
        <v>132</v>
      </c>
      <c r="N11" s="68"/>
      <c r="O11" s="68"/>
      <c r="P11" s="106"/>
      <c r="Q11" s="107"/>
      <c r="R11" s="107"/>
      <c r="S11" s="107"/>
      <c r="T11" s="107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</row>
    <row r="12" spans="1:36" x14ac:dyDescent="0.25">
      <c r="B12" s="68">
        <v>9</v>
      </c>
      <c r="C12" s="68" t="s">
        <v>135</v>
      </c>
      <c r="D12" s="70">
        <v>1</v>
      </c>
      <c r="E12" s="68">
        <v>1</v>
      </c>
      <c r="F12" s="96">
        <v>1</v>
      </c>
      <c r="G12" s="95">
        <f t="shared" ref="G12:G75" si="0">IF(D12&lt;&gt;"", D12/E12, "")</f>
        <v>1</v>
      </c>
      <c r="H12" s="91">
        <f>IF(E12&lt;&gt;"",E12/'Project Summary'!$C$9,"")</f>
        <v>1</v>
      </c>
      <c r="I12" s="97">
        <f>IF(F12&lt;&gt;"",F12/'Project Summary'!$C$10, "")</f>
        <v>1</v>
      </c>
      <c r="J12" s="68">
        <v>1</v>
      </c>
      <c r="K12" s="69"/>
      <c r="L12" s="102" t="s">
        <v>132</v>
      </c>
      <c r="M12" s="102" t="s">
        <v>132</v>
      </c>
      <c r="N12" s="68"/>
      <c r="O12" s="68"/>
      <c r="P12" s="106"/>
      <c r="Q12" s="107"/>
      <c r="R12" s="107"/>
      <c r="S12" s="107"/>
      <c r="T12" s="107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</row>
    <row r="13" spans="1:36" x14ac:dyDescent="0.25">
      <c r="B13" s="68">
        <v>10</v>
      </c>
      <c r="C13" s="68" t="s">
        <v>136</v>
      </c>
      <c r="D13" s="70">
        <v>1</v>
      </c>
      <c r="E13" s="68">
        <v>1</v>
      </c>
      <c r="F13" s="96">
        <v>1</v>
      </c>
      <c r="G13" s="95">
        <f t="shared" si="0"/>
        <v>1</v>
      </c>
      <c r="H13" s="91">
        <f>IF(E13&lt;&gt;"",E13/'Project Summary'!$C$9,"")</f>
        <v>1</v>
      </c>
      <c r="I13" s="97">
        <f>IF(F13&lt;&gt;"",F13/'Project Summary'!$C$10, "")</f>
        <v>1</v>
      </c>
      <c r="J13" s="68">
        <v>1</v>
      </c>
      <c r="K13" s="69"/>
      <c r="L13" s="102" t="s">
        <v>132</v>
      </c>
      <c r="M13" s="102" t="s">
        <v>132</v>
      </c>
      <c r="N13" s="68"/>
      <c r="O13" s="68"/>
      <c r="P13" s="106"/>
      <c r="Q13" s="107"/>
      <c r="R13" s="107"/>
      <c r="S13" s="107"/>
      <c r="T13" s="107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</row>
    <row r="14" spans="1:36" x14ac:dyDescent="0.25">
      <c r="B14" s="68">
        <v>11</v>
      </c>
      <c r="C14" s="68" t="s">
        <v>137</v>
      </c>
      <c r="D14" s="70">
        <v>1</v>
      </c>
      <c r="E14" s="68">
        <v>1</v>
      </c>
      <c r="F14" s="96">
        <v>1</v>
      </c>
      <c r="G14" s="95">
        <f t="shared" si="0"/>
        <v>1</v>
      </c>
      <c r="H14" s="91">
        <f>IF(E14&lt;&gt;"",E14/'Project Summary'!$C$9,"")</f>
        <v>1</v>
      </c>
      <c r="I14" s="97">
        <f>IF(F14&lt;&gt;"",F14/'Project Summary'!$C$10, "")</f>
        <v>1</v>
      </c>
      <c r="J14" s="68">
        <v>1</v>
      </c>
      <c r="K14" s="69"/>
      <c r="L14" s="102" t="s">
        <v>132</v>
      </c>
      <c r="M14" s="102" t="s">
        <v>132</v>
      </c>
      <c r="N14" s="68"/>
      <c r="O14" s="68"/>
      <c r="P14" s="106"/>
      <c r="Q14" s="107"/>
      <c r="R14" s="107"/>
      <c r="S14" s="107"/>
      <c r="T14" s="107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</row>
    <row r="15" spans="1:36" x14ac:dyDescent="0.25">
      <c r="B15" s="68">
        <v>12</v>
      </c>
      <c r="C15" s="68" t="s">
        <v>138</v>
      </c>
      <c r="D15" s="70">
        <v>1</v>
      </c>
      <c r="E15" s="68">
        <v>1</v>
      </c>
      <c r="F15" s="96">
        <v>1</v>
      </c>
      <c r="G15" s="95">
        <f t="shared" si="0"/>
        <v>1</v>
      </c>
      <c r="H15" s="91">
        <f>IF(E15&lt;&gt;"",E15/'Project Summary'!$C$9,"")</f>
        <v>1</v>
      </c>
      <c r="I15" s="97">
        <f>IF(F15&lt;&gt;"",F15/'Project Summary'!$C$10, "")</f>
        <v>1</v>
      </c>
      <c r="J15" s="68">
        <v>1</v>
      </c>
      <c r="K15" s="69"/>
      <c r="L15" s="102" t="s">
        <v>132</v>
      </c>
      <c r="M15" s="102" t="s">
        <v>132</v>
      </c>
      <c r="N15" s="68"/>
      <c r="O15" s="68"/>
      <c r="P15" s="106"/>
      <c r="Q15" s="107"/>
      <c r="R15" s="107"/>
      <c r="S15" s="107"/>
      <c r="T15" s="107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</row>
    <row r="16" spans="1:36" x14ac:dyDescent="0.25">
      <c r="B16" s="68">
        <v>13</v>
      </c>
      <c r="C16" s="68" t="s">
        <v>139</v>
      </c>
      <c r="D16" s="70">
        <v>1</v>
      </c>
      <c r="E16" s="68">
        <v>1</v>
      </c>
      <c r="F16" s="96">
        <v>1</v>
      </c>
      <c r="G16" s="95">
        <f t="shared" si="0"/>
        <v>1</v>
      </c>
      <c r="H16" s="91">
        <f>IF(E16&lt;&gt;"",E16/'Project Summary'!$C$9,"")</f>
        <v>1</v>
      </c>
      <c r="I16" s="97">
        <f>IF(F16&lt;&gt;"",F16/'Project Summary'!$C$10, "")</f>
        <v>1</v>
      </c>
      <c r="J16" s="68">
        <v>1</v>
      </c>
      <c r="K16" s="69"/>
      <c r="L16" s="102" t="s">
        <v>132</v>
      </c>
      <c r="M16" s="102" t="s">
        <v>132</v>
      </c>
      <c r="N16" s="68"/>
      <c r="O16" s="68"/>
      <c r="P16" s="106"/>
      <c r="Q16" s="107"/>
      <c r="R16" s="107"/>
      <c r="S16" s="107"/>
      <c r="T16" s="107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</row>
    <row r="17" spans="2:36" x14ac:dyDescent="0.25">
      <c r="B17" s="68">
        <v>14</v>
      </c>
      <c r="C17" s="68" t="s">
        <v>140</v>
      </c>
      <c r="D17" s="70">
        <v>1</v>
      </c>
      <c r="E17" s="68">
        <v>1</v>
      </c>
      <c r="F17" s="96">
        <v>1</v>
      </c>
      <c r="G17" s="95">
        <f t="shared" si="0"/>
        <v>1</v>
      </c>
      <c r="H17" s="91">
        <f>IF(E17&lt;&gt;"",E17/'Project Summary'!$C$9,"")</f>
        <v>1</v>
      </c>
      <c r="I17" s="97">
        <f>IF(F17&lt;&gt;"",F17/'Project Summary'!$C$10, "")</f>
        <v>1</v>
      </c>
      <c r="J17" s="68">
        <v>1</v>
      </c>
      <c r="K17" s="69"/>
      <c r="L17" s="102" t="s">
        <v>132</v>
      </c>
      <c r="M17" s="102" t="s">
        <v>132</v>
      </c>
      <c r="N17" s="68"/>
      <c r="O17" s="68"/>
      <c r="P17" s="106"/>
      <c r="Q17" s="107"/>
      <c r="R17" s="107"/>
      <c r="S17" s="107"/>
      <c r="T17" s="107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</row>
    <row r="18" spans="2:36" x14ac:dyDescent="0.25">
      <c r="B18" s="68"/>
      <c r="C18" s="68"/>
      <c r="D18" s="70"/>
      <c r="E18" s="68"/>
      <c r="F18" s="96"/>
      <c r="G18" s="95" t="str">
        <f t="shared" si="0"/>
        <v/>
      </c>
      <c r="H18" s="91" t="str">
        <f>IF(E18&lt;&gt;"",E18/'Project Summary'!$C$9,"")</f>
        <v/>
      </c>
      <c r="I18" s="97" t="str">
        <f>IF(F18&lt;&gt;"",F18/'Project Summary'!$C$10, "")</f>
        <v/>
      </c>
      <c r="J18" s="68"/>
      <c r="K18" s="69"/>
      <c r="L18" s="102"/>
      <c r="M18" s="102"/>
      <c r="N18" s="68"/>
      <c r="O18" s="68"/>
      <c r="P18" s="106"/>
      <c r="Q18" s="107"/>
      <c r="R18" s="107"/>
      <c r="S18" s="107"/>
      <c r="T18" s="107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</row>
    <row r="19" spans="2:36" x14ac:dyDescent="0.25">
      <c r="B19" s="68"/>
      <c r="C19" s="68"/>
      <c r="D19" s="70"/>
      <c r="E19" s="68"/>
      <c r="F19" s="96"/>
      <c r="G19" s="95" t="str">
        <f t="shared" si="0"/>
        <v/>
      </c>
      <c r="H19" s="91" t="str">
        <f>IF(E19&lt;&gt;"",E19/'Project Summary'!$C$9,"")</f>
        <v/>
      </c>
      <c r="I19" s="97" t="str">
        <f>IF(F19&lt;&gt;"",F19/'Project Summary'!$C$10, "")</f>
        <v/>
      </c>
      <c r="J19" s="68"/>
      <c r="K19" s="69"/>
      <c r="L19" s="102"/>
      <c r="M19" s="102"/>
      <c r="N19" s="68"/>
      <c r="O19" s="68"/>
      <c r="P19" s="106"/>
      <c r="Q19" s="107"/>
      <c r="R19" s="107"/>
      <c r="S19" s="107"/>
      <c r="T19" s="107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</row>
    <row r="20" spans="2:36" x14ac:dyDescent="0.25">
      <c r="B20" s="68"/>
      <c r="C20" s="68"/>
      <c r="D20" s="70"/>
      <c r="E20" s="68"/>
      <c r="F20" s="96"/>
      <c r="G20" s="95" t="str">
        <f t="shared" si="0"/>
        <v/>
      </c>
      <c r="H20" s="91" t="str">
        <f>IF(E20&lt;&gt;"",E20/'Project Summary'!$C$9,"")</f>
        <v/>
      </c>
      <c r="I20" s="97" t="str">
        <f>IF(F20&lt;&gt;"",F20/'Project Summary'!$C$10, "")</f>
        <v/>
      </c>
      <c r="J20" s="68"/>
      <c r="K20" s="69"/>
      <c r="L20" s="102"/>
      <c r="M20" s="102"/>
      <c r="N20" s="68"/>
      <c r="O20" s="68"/>
      <c r="P20" s="106"/>
      <c r="Q20" s="107"/>
      <c r="R20" s="107"/>
      <c r="S20" s="107"/>
      <c r="T20" s="107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</row>
    <row r="21" spans="2:36" x14ac:dyDescent="0.25">
      <c r="B21" s="68"/>
      <c r="C21" s="68"/>
      <c r="D21" s="70"/>
      <c r="E21" s="68"/>
      <c r="F21" s="96"/>
      <c r="G21" s="95" t="str">
        <f t="shared" si="0"/>
        <v/>
      </c>
      <c r="H21" s="91" t="str">
        <f>IF(E21&lt;&gt;"",E21/'Project Summary'!$C$9,"")</f>
        <v/>
      </c>
      <c r="I21" s="97" t="str">
        <f>IF(F21&lt;&gt;"",F21/'Project Summary'!$C$10, "")</f>
        <v/>
      </c>
      <c r="J21" s="68"/>
      <c r="K21" s="69"/>
      <c r="L21" s="102"/>
      <c r="M21" s="102"/>
      <c r="N21" s="68"/>
      <c r="O21" s="68"/>
      <c r="P21" s="106"/>
      <c r="Q21" s="107"/>
      <c r="R21" s="107"/>
      <c r="S21" s="107"/>
      <c r="T21" s="107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</row>
    <row r="22" spans="2:36" x14ac:dyDescent="0.25">
      <c r="B22" s="68"/>
      <c r="C22" s="68"/>
      <c r="D22" s="70"/>
      <c r="E22" s="68"/>
      <c r="F22" s="96"/>
      <c r="G22" s="95" t="str">
        <f t="shared" si="0"/>
        <v/>
      </c>
      <c r="H22" s="91" t="str">
        <f>IF(E22&lt;&gt;"",E22/'Project Summary'!$C$9,"")</f>
        <v/>
      </c>
      <c r="I22" s="97" t="str">
        <f>IF(F22&lt;&gt;"",F22/'Project Summary'!$C$10, "")</f>
        <v/>
      </c>
      <c r="J22" s="68"/>
      <c r="K22" s="69"/>
      <c r="L22" s="102"/>
      <c r="M22" s="102"/>
      <c r="N22" s="68"/>
      <c r="O22" s="68"/>
      <c r="P22" s="106"/>
      <c r="Q22" s="107"/>
      <c r="R22" s="107"/>
      <c r="S22" s="107"/>
      <c r="T22" s="107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</row>
    <row r="23" spans="2:36" x14ac:dyDescent="0.25">
      <c r="B23" s="68"/>
      <c r="C23" s="68"/>
      <c r="D23" s="70"/>
      <c r="E23" s="68"/>
      <c r="F23" s="96"/>
      <c r="G23" s="95" t="str">
        <f t="shared" si="0"/>
        <v/>
      </c>
      <c r="H23" s="91" t="str">
        <f>IF(E23&lt;&gt;"",E23/'Project Summary'!$C$9,"")</f>
        <v/>
      </c>
      <c r="I23" s="97" t="str">
        <f>IF(F23&lt;&gt;"",F23/'Project Summary'!$C$10, "")</f>
        <v/>
      </c>
      <c r="J23" s="68"/>
      <c r="K23" s="69"/>
      <c r="L23" s="102"/>
      <c r="M23" s="102"/>
      <c r="N23" s="68"/>
      <c r="O23" s="68"/>
      <c r="P23" s="106"/>
      <c r="Q23" s="107"/>
      <c r="R23" s="107"/>
      <c r="S23" s="107"/>
      <c r="T23" s="107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</row>
    <row r="24" spans="2:36" x14ac:dyDescent="0.25">
      <c r="B24" s="68"/>
      <c r="C24" s="68"/>
      <c r="D24" s="70"/>
      <c r="E24" s="68"/>
      <c r="F24" s="96"/>
      <c r="G24" s="95" t="str">
        <f t="shared" si="0"/>
        <v/>
      </c>
      <c r="H24" s="91" t="str">
        <f>IF(E24&lt;&gt;"",E24/'Project Summary'!$C$9,"")</f>
        <v/>
      </c>
      <c r="I24" s="97" t="str">
        <f>IF(F24&lt;&gt;"",F24/'Project Summary'!$C$10, "")</f>
        <v/>
      </c>
      <c r="J24" s="68"/>
      <c r="K24" s="69"/>
      <c r="L24" s="102"/>
      <c r="M24" s="102"/>
      <c r="N24" s="68"/>
      <c r="O24" s="68"/>
      <c r="P24" s="106"/>
      <c r="Q24" s="107"/>
      <c r="R24" s="107"/>
      <c r="S24" s="107"/>
      <c r="T24" s="107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</row>
    <row r="25" spans="2:36" x14ac:dyDescent="0.25">
      <c r="B25" s="68"/>
      <c r="C25" s="68"/>
      <c r="D25" s="70"/>
      <c r="E25" s="68"/>
      <c r="F25" s="96"/>
      <c r="G25" s="95" t="str">
        <f t="shared" si="0"/>
        <v/>
      </c>
      <c r="H25" s="91" t="str">
        <f>IF(E25&lt;&gt;"",E25/'Project Summary'!$C$9,"")</f>
        <v/>
      </c>
      <c r="I25" s="97" t="str">
        <f>IF(F25&lt;&gt;"",F25/'Project Summary'!$C$10, "")</f>
        <v/>
      </c>
      <c r="J25" s="68"/>
      <c r="K25" s="69"/>
      <c r="L25" s="102"/>
      <c r="M25" s="102"/>
      <c r="N25" s="68"/>
      <c r="O25" s="68"/>
      <c r="P25" s="106"/>
      <c r="Q25" s="107"/>
      <c r="R25" s="107"/>
      <c r="S25" s="107"/>
      <c r="T25" s="107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</row>
    <row r="26" spans="2:36" x14ac:dyDescent="0.25">
      <c r="B26" s="68"/>
      <c r="C26" s="68"/>
      <c r="D26" s="70"/>
      <c r="E26" s="68"/>
      <c r="F26" s="96"/>
      <c r="G26" s="95" t="str">
        <f t="shared" si="0"/>
        <v/>
      </c>
      <c r="H26" s="91" t="str">
        <f>IF(E26&lt;&gt;"",E26/'Project Summary'!$C$9,"")</f>
        <v/>
      </c>
      <c r="I26" s="97" t="str">
        <f>IF(F26&lt;&gt;"",F26/'Project Summary'!$C$10, "")</f>
        <v/>
      </c>
      <c r="J26" s="68"/>
      <c r="K26" s="69"/>
      <c r="L26" s="102"/>
      <c r="M26" s="102"/>
      <c r="N26" s="68"/>
      <c r="O26" s="68"/>
      <c r="P26" s="106"/>
      <c r="Q26" s="107"/>
      <c r="R26" s="107"/>
      <c r="S26" s="107"/>
      <c r="T26" s="107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</row>
    <row r="27" spans="2:36" x14ac:dyDescent="0.25">
      <c r="B27" s="68"/>
      <c r="C27" s="68"/>
      <c r="D27" s="70"/>
      <c r="E27" s="68"/>
      <c r="F27" s="96"/>
      <c r="G27" s="95" t="str">
        <f t="shared" si="0"/>
        <v/>
      </c>
      <c r="H27" s="91" t="str">
        <f>IF(E27&lt;&gt;"",E27/'Project Summary'!$C$9,"")</f>
        <v/>
      </c>
      <c r="I27" s="97" t="str">
        <f>IF(F27&lt;&gt;"",F27/'Project Summary'!$C$10, "")</f>
        <v/>
      </c>
      <c r="J27" s="68"/>
      <c r="K27" s="69"/>
      <c r="L27" s="102"/>
      <c r="M27" s="102"/>
      <c r="N27" s="68"/>
      <c r="O27" s="68"/>
      <c r="P27" s="106"/>
      <c r="Q27" s="107"/>
      <c r="R27" s="107"/>
      <c r="S27" s="107"/>
      <c r="T27" s="107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</row>
    <row r="28" spans="2:36" x14ac:dyDescent="0.25">
      <c r="B28" s="68"/>
      <c r="C28" s="68"/>
      <c r="D28" s="70"/>
      <c r="E28" s="68"/>
      <c r="F28" s="96"/>
      <c r="G28" s="95" t="str">
        <f t="shared" si="0"/>
        <v/>
      </c>
      <c r="H28" s="91" t="str">
        <f>IF(E28&lt;&gt;"",E28/'Project Summary'!$C$9,"")</f>
        <v/>
      </c>
      <c r="I28" s="97" t="str">
        <f>IF(F28&lt;&gt;"",F28/'Project Summary'!$C$10, "")</f>
        <v/>
      </c>
      <c r="J28" s="68"/>
      <c r="K28" s="69"/>
      <c r="L28" s="102"/>
      <c r="M28" s="102"/>
      <c r="N28" s="68"/>
      <c r="O28" s="68"/>
      <c r="P28" s="106"/>
      <c r="Q28" s="107"/>
      <c r="R28" s="107"/>
      <c r="S28" s="107"/>
      <c r="T28" s="107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</row>
    <row r="29" spans="2:36" x14ac:dyDescent="0.25">
      <c r="B29" s="68"/>
      <c r="C29" s="68"/>
      <c r="D29" s="70"/>
      <c r="E29" s="68"/>
      <c r="F29" s="96"/>
      <c r="G29" s="95" t="str">
        <f t="shared" si="0"/>
        <v/>
      </c>
      <c r="H29" s="91" t="str">
        <f>IF(E29&lt;&gt;"",E29/'Project Summary'!$C$9,"")</f>
        <v/>
      </c>
      <c r="I29" s="97" t="str">
        <f>IF(F29&lt;&gt;"",F29/'Project Summary'!$C$10, "")</f>
        <v/>
      </c>
      <c r="J29" s="68"/>
      <c r="K29" s="69"/>
      <c r="L29" s="102"/>
      <c r="M29" s="102"/>
      <c r="N29" s="68"/>
      <c r="O29" s="68"/>
      <c r="P29" s="106"/>
      <c r="Q29" s="107"/>
      <c r="R29" s="107"/>
      <c r="S29" s="107"/>
      <c r="T29" s="107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</row>
    <row r="30" spans="2:36" x14ac:dyDescent="0.25">
      <c r="B30" s="68"/>
      <c r="C30" s="68"/>
      <c r="D30" s="70"/>
      <c r="E30" s="68"/>
      <c r="F30" s="96"/>
      <c r="G30" s="95" t="str">
        <f t="shared" si="0"/>
        <v/>
      </c>
      <c r="H30" s="91" t="str">
        <f>IF(E30&lt;&gt;"",E30/'Project Summary'!$C$9,"")</f>
        <v/>
      </c>
      <c r="I30" s="97" t="str">
        <f>IF(F30&lt;&gt;"",F30/'Project Summary'!$C$10, "")</f>
        <v/>
      </c>
      <c r="J30" s="68"/>
      <c r="K30" s="69"/>
      <c r="L30" s="102"/>
      <c r="M30" s="102"/>
      <c r="N30" s="68"/>
      <c r="O30" s="68"/>
      <c r="P30" s="106"/>
      <c r="Q30" s="107"/>
      <c r="R30" s="107"/>
      <c r="S30" s="107"/>
      <c r="T30" s="107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</row>
    <row r="31" spans="2:36" x14ac:dyDescent="0.25">
      <c r="B31" s="68"/>
      <c r="C31" s="68"/>
      <c r="D31" s="70"/>
      <c r="E31" s="68"/>
      <c r="F31" s="96"/>
      <c r="G31" s="95" t="str">
        <f t="shared" si="0"/>
        <v/>
      </c>
      <c r="H31" s="91" t="str">
        <f>IF(E31&lt;&gt;"",E31/'Project Summary'!$C$9,"")</f>
        <v/>
      </c>
      <c r="I31" s="97" t="str">
        <f>IF(F31&lt;&gt;"",F31/'Project Summary'!$C$10, "")</f>
        <v/>
      </c>
      <c r="J31" s="68"/>
      <c r="K31" s="69"/>
      <c r="L31" s="102"/>
      <c r="M31" s="102"/>
      <c r="N31" s="68"/>
      <c r="O31" s="68"/>
      <c r="P31" s="106"/>
      <c r="Q31" s="107"/>
      <c r="R31" s="107"/>
      <c r="S31" s="107"/>
      <c r="T31" s="107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</row>
    <row r="32" spans="2:36" x14ac:dyDescent="0.25">
      <c r="B32" s="68"/>
      <c r="C32" s="68"/>
      <c r="D32" s="70"/>
      <c r="E32" s="68"/>
      <c r="F32" s="96"/>
      <c r="G32" s="95" t="str">
        <f t="shared" si="0"/>
        <v/>
      </c>
      <c r="H32" s="91" t="str">
        <f>IF(E32&lt;&gt;"",E32/'Project Summary'!$C$9,"")</f>
        <v/>
      </c>
      <c r="I32" s="97" t="str">
        <f>IF(F32&lt;&gt;"",F32/'Project Summary'!$C$10, "")</f>
        <v/>
      </c>
      <c r="J32" s="68"/>
      <c r="K32" s="69"/>
      <c r="L32" s="102"/>
      <c r="M32" s="102"/>
      <c r="N32" s="68"/>
      <c r="O32" s="68"/>
      <c r="P32" s="106"/>
      <c r="Q32" s="107"/>
      <c r="R32" s="107"/>
      <c r="S32" s="107"/>
      <c r="T32" s="107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</row>
    <row r="33" spans="2:36" x14ac:dyDescent="0.25">
      <c r="B33" s="68"/>
      <c r="C33" s="68"/>
      <c r="D33" s="70"/>
      <c r="E33" s="68"/>
      <c r="F33" s="96"/>
      <c r="G33" s="95" t="str">
        <f t="shared" si="0"/>
        <v/>
      </c>
      <c r="H33" s="91" t="str">
        <f>IF(E33&lt;&gt;"",E33/'Project Summary'!$C$9,"")</f>
        <v/>
      </c>
      <c r="I33" s="97" t="str">
        <f>IF(F33&lt;&gt;"",F33/'Project Summary'!$C$10, "")</f>
        <v/>
      </c>
      <c r="J33" s="68"/>
      <c r="K33" s="69"/>
      <c r="L33" s="102"/>
      <c r="M33" s="102"/>
      <c r="N33" s="68"/>
      <c r="O33" s="68"/>
      <c r="P33" s="106"/>
      <c r="Q33" s="107"/>
      <c r="R33" s="107"/>
      <c r="S33" s="107"/>
      <c r="T33" s="107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</row>
    <row r="34" spans="2:36" x14ac:dyDescent="0.25">
      <c r="B34" s="68"/>
      <c r="C34" s="68"/>
      <c r="D34" s="70"/>
      <c r="E34" s="68"/>
      <c r="F34" s="96"/>
      <c r="G34" s="95" t="str">
        <f t="shared" si="0"/>
        <v/>
      </c>
      <c r="H34" s="91" t="str">
        <f>IF(E34&lt;&gt;"",E34/'Project Summary'!$C$9,"")</f>
        <v/>
      </c>
      <c r="I34" s="97" t="str">
        <f>IF(F34&lt;&gt;"",F34/'Project Summary'!$C$10, "")</f>
        <v/>
      </c>
      <c r="J34" s="68"/>
      <c r="K34" s="69"/>
      <c r="L34" s="102"/>
      <c r="M34" s="102"/>
      <c r="N34" s="68"/>
      <c r="O34" s="68"/>
      <c r="P34" s="106"/>
      <c r="Q34" s="107"/>
      <c r="R34" s="107"/>
      <c r="S34" s="107"/>
      <c r="T34" s="107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</row>
    <row r="35" spans="2:36" x14ac:dyDescent="0.25">
      <c r="B35" s="68"/>
      <c r="C35" s="68"/>
      <c r="D35" s="70"/>
      <c r="E35" s="68"/>
      <c r="F35" s="96"/>
      <c r="G35" s="95" t="str">
        <f t="shared" si="0"/>
        <v/>
      </c>
      <c r="H35" s="91" t="str">
        <f>IF(E35&lt;&gt;"",E35/'Project Summary'!$C$9,"")</f>
        <v/>
      </c>
      <c r="I35" s="97" t="str">
        <f>IF(F35&lt;&gt;"",F35/'Project Summary'!$C$10, "")</f>
        <v/>
      </c>
      <c r="J35" s="68"/>
      <c r="K35" s="69"/>
      <c r="L35" s="102"/>
      <c r="M35" s="102"/>
      <c r="N35" s="68"/>
      <c r="O35" s="68"/>
      <c r="P35" s="106"/>
      <c r="Q35" s="107"/>
      <c r="R35" s="107"/>
      <c r="S35" s="107"/>
      <c r="T35" s="107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</row>
    <row r="36" spans="2:36" x14ac:dyDescent="0.25">
      <c r="B36" s="68"/>
      <c r="C36" s="68"/>
      <c r="D36" s="70"/>
      <c r="E36" s="68"/>
      <c r="F36" s="96"/>
      <c r="G36" s="95" t="str">
        <f t="shared" si="0"/>
        <v/>
      </c>
      <c r="H36" s="91" t="str">
        <f>IF(E36&lt;&gt;"",E36/'Project Summary'!$C$9,"")</f>
        <v/>
      </c>
      <c r="I36" s="97" t="str">
        <f>IF(F36&lt;&gt;"",F36/'Project Summary'!$C$10, "")</f>
        <v/>
      </c>
      <c r="J36" s="68"/>
      <c r="K36" s="69"/>
      <c r="L36" s="102"/>
      <c r="M36" s="102"/>
      <c r="N36" s="68"/>
      <c r="O36" s="68"/>
      <c r="P36" s="106"/>
      <c r="Q36" s="107"/>
      <c r="R36" s="107"/>
      <c r="S36" s="107"/>
      <c r="T36" s="107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</row>
    <row r="37" spans="2:36" x14ac:dyDescent="0.25">
      <c r="B37" s="68"/>
      <c r="C37" s="68"/>
      <c r="D37" s="70"/>
      <c r="E37" s="68"/>
      <c r="F37" s="96"/>
      <c r="G37" s="95" t="str">
        <f t="shared" si="0"/>
        <v/>
      </c>
      <c r="H37" s="91" t="str">
        <f>IF(E37&lt;&gt;"",E37/'Project Summary'!$C$9,"")</f>
        <v/>
      </c>
      <c r="I37" s="97" t="str">
        <f>IF(F37&lt;&gt;"",F37/'Project Summary'!$C$10, "")</f>
        <v/>
      </c>
      <c r="J37" s="68"/>
      <c r="K37" s="69"/>
      <c r="L37" s="102"/>
      <c r="M37" s="102"/>
      <c r="N37" s="68"/>
      <c r="O37" s="68"/>
      <c r="P37" s="106"/>
      <c r="Q37" s="107"/>
      <c r="R37" s="107"/>
      <c r="S37" s="107"/>
      <c r="T37" s="107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</row>
    <row r="38" spans="2:36" x14ac:dyDescent="0.25">
      <c r="B38" s="68"/>
      <c r="C38" s="68"/>
      <c r="D38" s="70"/>
      <c r="E38" s="68"/>
      <c r="F38" s="96"/>
      <c r="G38" s="95" t="str">
        <f t="shared" si="0"/>
        <v/>
      </c>
      <c r="H38" s="91" t="str">
        <f>IF(E38&lt;&gt;"",E38/'Project Summary'!$C$9,"")</f>
        <v/>
      </c>
      <c r="I38" s="97" t="str">
        <f>IF(F38&lt;&gt;"",F38/'Project Summary'!$C$10, "")</f>
        <v/>
      </c>
      <c r="J38" s="68"/>
      <c r="K38" s="69"/>
      <c r="L38" s="102"/>
      <c r="M38" s="102"/>
      <c r="N38" s="68"/>
      <c r="O38" s="68"/>
      <c r="P38" s="106"/>
      <c r="Q38" s="107"/>
      <c r="R38" s="107"/>
      <c r="S38" s="107"/>
      <c r="T38" s="107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</row>
    <row r="39" spans="2:36" x14ac:dyDescent="0.25">
      <c r="B39" s="68"/>
      <c r="C39" s="68"/>
      <c r="D39" s="70"/>
      <c r="E39" s="68"/>
      <c r="F39" s="96"/>
      <c r="G39" s="95" t="str">
        <f t="shared" si="0"/>
        <v/>
      </c>
      <c r="H39" s="91" t="str">
        <f>IF(E39&lt;&gt;"",E39/'Project Summary'!$C$9,"")</f>
        <v/>
      </c>
      <c r="I39" s="97" t="str">
        <f>IF(F39&lt;&gt;"",F39/'Project Summary'!$C$10, "")</f>
        <v/>
      </c>
      <c r="J39" s="68"/>
      <c r="K39" s="69"/>
      <c r="L39" s="102"/>
      <c r="M39" s="102"/>
      <c r="N39" s="68"/>
      <c r="O39" s="68"/>
      <c r="P39" s="106"/>
      <c r="Q39" s="107"/>
      <c r="R39" s="107"/>
      <c r="S39" s="107"/>
      <c r="T39" s="107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</row>
    <row r="40" spans="2:36" x14ac:dyDescent="0.25">
      <c r="B40" s="68"/>
      <c r="C40" s="68"/>
      <c r="D40" s="70"/>
      <c r="E40" s="68"/>
      <c r="F40" s="96"/>
      <c r="G40" s="95" t="str">
        <f t="shared" si="0"/>
        <v/>
      </c>
      <c r="H40" s="91" t="str">
        <f>IF(E40&lt;&gt;"",E40/'Project Summary'!$C$9,"")</f>
        <v/>
      </c>
      <c r="I40" s="97" t="str">
        <f>IF(F40&lt;&gt;"",F40/'Project Summary'!$C$10, "")</f>
        <v/>
      </c>
      <c r="J40" s="68"/>
      <c r="K40" s="69"/>
      <c r="L40" s="102"/>
      <c r="M40" s="102"/>
      <c r="N40" s="68"/>
      <c r="O40" s="68"/>
      <c r="P40" s="106"/>
      <c r="Q40" s="107"/>
      <c r="R40" s="107"/>
      <c r="S40" s="107"/>
      <c r="T40" s="107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</row>
    <row r="41" spans="2:36" x14ac:dyDescent="0.25">
      <c r="B41" s="68"/>
      <c r="C41" s="68"/>
      <c r="D41" s="70"/>
      <c r="E41" s="68"/>
      <c r="F41" s="96"/>
      <c r="G41" s="95" t="str">
        <f t="shared" si="0"/>
        <v/>
      </c>
      <c r="H41" s="91" t="str">
        <f>IF(E41&lt;&gt;"",E41/'Project Summary'!$C$9,"")</f>
        <v/>
      </c>
      <c r="I41" s="97" t="str">
        <f>IF(F41&lt;&gt;"",F41/'Project Summary'!$C$10, "")</f>
        <v/>
      </c>
      <c r="J41" s="68"/>
      <c r="K41" s="69"/>
      <c r="L41" s="102"/>
      <c r="M41" s="102"/>
      <c r="N41" s="68"/>
      <c r="O41" s="68"/>
      <c r="P41" s="106"/>
      <c r="Q41" s="107"/>
      <c r="R41" s="107"/>
      <c r="S41" s="107"/>
      <c r="T41" s="107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</row>
    <row r="42" spans="2:36" x14ac:dyDescent="0.25">
      <c r="B42" s="68"/>
      <c r="C42" s="68"/>
      <c r="D42" s="70"/>
      <c r="E42" s="68"/>
      <c r="F42" s="96"/>
      <c r="G42" s="95" t="str">
        <f t="shared" si="0"/>
        <v/>
      </c>
      <c r="H42" s="91" t="str">
        <f>IF(E42&lt;&gt;"",E42/'Project Summary'!$C$9,"")</f>
        <v/>
      </c>
      <c r="I42" s="97" t="str">
        <f>IF(F42&lt;&gt;"",F42/'Project Summary'!$C$10, "")</f>
        <v/>
      </c>
      <c r="J42" s="68"/>
      <c r="K42" s="69"/>
      <c r="L42" s="102"/>
      <c r="M42" s="102"/>
      <c r="N42" s="68"/>
      <c r="O42" s="68"/>
      <c r="P42" s="106"/>
      <c r="Q42" s="107"/>
      <c r="R42" s="107"/>
      <c r="S42" s="107"/>
      <c r="T42" s="107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</row>
    <row r="43" spans="2:36" x14ac:dyDescent="0.25">
      <c r="B43" s="68"/>
      <c r="C43" s="68"/>
      <c r="D43" s="70"/>
      <c r="E43" s="68"/>
      <c r="F43" s="96"/>
      <c r="G43" s="95" t="str">
        <f t="shared" si="0"/>
        <v/>
      </c>
      <c r="H43" s="91" t="str">
        <f>IF(E43&lt;&gt;"",E43/'Project Summary'!$C$9,"")</f>
        <v/>
      </c>
      <c r="I43" s="97" t="str">
        <f>IF(F43&lt;&gt;"",F43/'Project Summary'!$C$10, "")</f>
        <v/>
      </c>
      <c r="J43" s="68"/>
      <c r="K43" s="69"/>
      <c r="L43" s="102"/>
      <c r="M43" s="102"/>
      <c r="N43" s="68"/>
      <c r="O43" s="68"/>
      <c r="P43" s="106"/>
      <c r="Q43" s="107"/>
      <c r="R43" s="107"/>
      <c r="S43" s="107"/>
      <c r="T43" s="107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</row>
    <row r="44" spans="2:36" x14ac:dyDescent="0.25">
      <c r="B44" s="68"/>
      <c r="C44" s="68"/>
      <c r="D44" s="70"/>
      <c r="E44" s="68"/>
      <c r="F44" s="96"/>
      <c r="G44" s="95" t="str">
        <f t="shared" si="0"/>
        <v/>
      </c>
      <c r="H44" s="91" t="str">
        <f>IF(E44&lt;&gt;"",E44/'Project Summary'!$C$9,"")</f>
        <v/>
      </c>
      <c r="I44" s="97" t="str">
        <f>IF(F44&lt;&gt;"",F44/'Project Summary'!$C$10, "")</f>
        <v/>
      </c>
      <c r="J44" s="68"/>
      <c r="K44" s="69"/>
      <c r="L44" s="102"/>
      <c r="M44" s="102"/>
      <c r="N44" s="68"/>
      <c r="O44" s="68"/>
      <c r="P44" s="106"/>
      <c r="Q44" s="107"/>
      <c r="R44" s="107"/>
      <c r="S44" s="107"/>
      <c r="T44" s="107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</row>
    <row r="45" spans="2:36" x14ac:dyDescent="0.25">
      <c r="B45" s="68"/>
      <c r="C45" s="68"/>
      <c r="D45" s="70"/>
      <c r="E45" s="68"/>
      <c r="F45" s="96"/>
      <c r="G45" s="95" t="str">
        <f t="shared" si="0"/>
        <v/>
      </c>
      <c r="H45" s="91" t="str">
        <f>IF(E45&lt;&gt;"",E45/'Project Summary'!$C$9,"")</f>
        <v/>
      </c>
      <c r="I45" s="97" t="str">
        <f>IF(F45&lt;&gt;"",F45/'Project Summary'!$C$10, "")</f>
        <v/>
      </c>
      <c r="J45" s="68"/>
      <c r="K45" s="69"/>
      <c r="L45" s="102"/>
      <c r="M45" s="102"/>
      <c r="N45" s="68"/>
      <c r="O45" s="68"/>
      <c r="P45" s="106"/>
      <c r="Q45" s="107"/>
      <c r="R45" s="107"/>
      <c r="S45" s="107"/>
      <c r="T45" s="107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</row>
    <row r="46" spans="2:36" x14ac:dyDescent="0.25">
      <c r="B46" s="68"/>
      <c r="C46" s="68"/>
      <c r="D46" s="70"/>
      <c r="E46" s="68"/>
      <c r="F46" s="96"/>
      <c r="G46" s="95" t="str">
        <f t="shared" si="0"/>
        <v/>
      </c>
      <c r="H46" s="91" t="str">
        <f>IF(E46&lt;&gt;"",E46/'Project Summary'!$C$9,"")</f>
        <v/>
      </c>
      <c r="I46" s="97" t="str">
        <f>IF(F46&lt;&gt;"",F46/'Project Summary'!$C$10, "")</f>
        <v/>
      </c>
      <c r="J46" s="68"/>
      <c r="K46" s="69"/>
      <c r="L46" s="102"/>
      <c r="M46" s="102"/>
      <c r="N46" s="68"/>
      <c r="O46" s="68"/>
      <c r="P46" s="106"/>
      <c r="Q46" s="107"/>
      <c r="R46" s="107"/>
      <c r="S46" s="107"/>
      <c r="T46" s="107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</row>
    <row r="47" spans="2:36" x14ac:dyDescent="0.25">
      <c r="B47" s="68"/>
      <c r="C47" s="68"/>
      <c r="D47" s="70"/>
      <c r="E47" s="68"/>
      <c r="F47" s="96"/>
      <c r="G47" s="95" t="str">
        <f t="shared" si="0"/>
        <v/>
      </c>
      <c r="H47" s="91" t="str">
        <f>IF(E47&lt;&gt;"",E47/'Project Summary'!$C$9,"")</f>
        <v/>
      </c>
      <c r="I47" s="97" t="str">
        <f>IF(F47&lt;&gt;"",F47/'Project Summary'!$C$10, "")</f>
        <v/>
      </c>
      <c r="J47" s="68"/>
      <c r="K47" s="69"/>
      <c r="L47" s="102"/>
      <c r="M47" s="102"/>
      <c r="N47" s="68"/>
      <c r="O47" s="68"/>
      <c r="P47" s="106"/>
      <c r="Q47" s="107"/>
      <c r="R47" s="107"/>
      <c r="S47" s="107"/>
      <c r="T47" s="107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</row>
    <row r="48" spans="2:36" x14ac:dyDescent="0.25">
      <c r="B48" s="68"/>
      <c r="C48" s="68"/>
      <c r="D48" s="70"/>
      <c r="E48" s="68"/>
      <c r="F48" s="96"/>
      <c r="G48" s="95" t="str">
        <f t="shared" si="0"/>
        <v/>
      </c>
      <c r="H48" s="91" t="str">
        <f>IF(E48&lt;&gt;"",E48/'Project Summary'!$C$9,"")</f>
        <v/>
      </c>
      <c r="I48" s="97" t="str">
        <f>IF(F48&lt;&gt;"",F48/'Project Summary'!$C$10, "")</f>
        <v/>
      </c>
      <c r="J48" s="68"/>
      <c r="K48" s="69"/>
      <c r="L48" s="102"/>
      <c r="M48" s="102"/>
      <c r="N48" s="68"/>
      <c r="O48" s="68"/>
      <c r="P48" s="106"/>
      <c r="Q48" s="107"/>
      <c r="R48" s="107"/>
      <c r="S48" s="107"/>
      <c r="T48" s="107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</row>
    <row r="49" spans="2:36" x14ac:dyDescent="0.25">
      <c r="B49" s="68"/>
      <c r="C49" s="68"/>
      <c r="D49" s="70"/>
      <c r="E49" s="68"/>
      <c r="F49" s="96"/>
      <c r="G49" s="95" t="str">
        <f t="shared" si="0"/>
        <v/>
      </c>
      <c r="H49" s="91" t="str">
        <f>IF(E49&lt;&gt;"",E49/'Project Summary'!$C$9,"")</f>
        <v/>
      </c>
      <c r="I49" s="97" t="str">
        <f>IF(F49&lt;&gt;"",F49/'Project Summary'!$C$10, "")</f>
        <v/>
      </c>
      <c r="J49" s="68"/>
      <c r="K49" s="69"/>
      <c r="L49" s="102"/>
      <c r="M49" s="102"/>
      <c r="N49" s="68"/>
      <c r="O49" s="68"/>
      <c r="P49" s="106"/>
      <c r="Q49" s="107"/>
      <c r="R49" s="107"/>
      <c r="S49" s="107"/>
      <c r="T49" s="107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</row>
    <row r="50" spans="2:36" x14ac:dyDescent="0.25">
      <c r="B50" s="68"/>
      <c r="C50" s="68"/>
      <c r="D50" s="70"/>
      <c r="E50" s="68"/>
      <c r="F50" s="96"/>
      <c r="G50" s="95" t="str">
        <f t="shared" si="0"/>
        <v/>
      </c>
      <c r="H50" s="91" t="str">
        <f>IF(E50&lt;&gt;"",E50/'Project Summary'!$C$9,"")</f>
        <v/>
      </c>
      <c r="I50" s="97" t="str">
        <f>IF(F50&lt;&gt;"",F50/'Project Summary'!$C$10, "")</f>
        <v/>
      </c>
      <c r="J50" s="68"/>
      <c r="K50" s="69"/>
      <c r="L50" s="102"/>
      <c r="M50" s="102"/>
      <c r="N50" s="68"/>
      <c r="O50" s="68"/>
      <c r="P50" s="106"/>
      <c r="Q50" s="107"/>
      <c r="R50" s="107"/>
      <c r="S50" s="107"/>
      <c r="T50" s="107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</row>
    <row r="51" spans="2:36" x14ac:dyDescent="0.25">
      <c r="B51" s="68"/>
      <c r="C51" s="68"/>
      <c r="D51" s="70"/>
      <c r="E51" s="68"/>
      <c r="F51" s="96"/>
      <c r="G51" s="95" t="str">
        <f t="shared" si="0"/>
        <v/>
      </c>
      <c r="H51" s="91" t="str">
        <f>IF(E51&lt;&gt;"",E51/'Project Summary'!$C$9,"")</f>
        <v/>
      </c>
      <c r="I51" s="97" t="str">
        <f>IF(F51&lt;&gt;"",F51/'Project Summary'!$C$10, "")</f>
        <v/>
      </c>
      <c r="J51" s="68"/>
      <c r="K51" s="69"/>
      <c r="L51" s="102"/>
      <c r="M51" s="102"/>
      <c r="N51" s="68"/>
      <c r="O51" s="68"/>
      <c r="P51" s="106"/>
      <c r="Q51" s="107"/>
      <c r="R51" s="107"/>
      <c r="S51" s="107"/>
      <c r="T51" s="107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</row>
    <row r="52" spans="2:36" x14ac:dyDescent="0.25">
      <c r="B52" s="68"/>
      <c r="C52" s="68"/>
      <c r="D52" s="70"/>
      <c r="E52" s="68"/>
      <c r="F52" s="96"/>
      <c r="G52" s="95" t="str">
        <f t="shared" si="0"/>
        <v/>
      </c>
      <c r="H52" s="91" t="str">
        <f>IF(E52&lt;&gt;"",E52/'Project Summary'!$C$9,"")</f>
        <v/>
      </c>
      <c r="I52" s="97" t="str">
        <f>IF(F52&lt;&gt;"",F52/'Project Summary'!$C$10, "")</f>
        <v/>
      </c>
      <c r="J52" s="68"/>
      <c r="K52" s="69"/>
      <c r="L52" s="102"/>
      <c r="M52" s="102"/>
      <c r="N52" s="68"/>
      <c r="O52" s="68"/>
      <c r="P52" s="106"/>
      <c r="Q52" s="107"/>
      <c r="R52" s="107"/>
      <c r="S52" s="107"/>
      <c r="T52" s="107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</row>
    <row r="53" spans="2:36" x14ac:dyDescent="0.25">
      <c r="B53" s="68"/>
      <c r="C53" s="68"/>
      <c r="D53" s="70"/>
      <c r="E53" s="68"/>
      <c r="F53" s="96"/>
      <c r="G53" s="95" t="str">
        <f t="shared" si="0"/>
        <v/>
      </c>
      <c r="H53" s="91" t="str">
        <f>IF(E53&lt;&gt;"",E53/'Project Summary'!$C$9,"")</f>
        <v/>
      </c>
      <c r="I53" s="97" t="str">
        <f>IF(F53&lt;&gt;"",F53/'Project Summary'!$C$10, "")</f>
        <v/>
      </c>
      <c r="J53" s="68"/>
      <c r="K53" s="69"/>
      <c r="L53" s="102"/>
      <c r="M53" s="102"/>
      <c r="N53" s="68"/>
      <c r="O53" s="68"/>
      <c r="P53" s="106"/>
      <c r="Q53" s="107"/>
      <c r="R53" s="107"/>
      <c r="S53" s="107"/>
      <c r="T53" s="107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</row>
    <row r="54" spans="2:36" x14ac:dyDescent="0.25">
      <c r="B54" s="68"/>
      <c r="C54" s="68"/>
      <c r="D54" s="70"/>
      <c r="E54" s="68"/>
      <c r="F54" s="96"/>
      <c r="G54" s="95" t="str">
        <f t="shared" si="0"/>
        <v/>
      </c>
      <c r="H54" s="91" t="str">
        <f>IF(E54&lt;&gt;"",E54/'Project Summary'!$C$9,"")</f>
        <v/>
      </c>
      <c r="I54" s="97" t="str">
        <f>IF(F54&lt;&gt;"",F54/'Project Summary'!$C$10, "")</f>
        <v/>
      </c>
      <c r="J54" s="68"/>
      <c r="K54" s="69"/>
      <c r="L54" s="102"/>
      <c r="M54" s="102"/>
      <c r="N54" s="68"/>
      <c r="O54" s="68"/>
      <c r="P54" s="106"/>
      <c r="Q54" s="107"/>
      <c r="R54" s="107"/>
      <c r="S54" s="107"/>
      <c r="T54" s="107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</row>
    <row r="55" spans="2:36" x14ac:dyDescent="0.25">
      <c r="B55" s="68"/>
      <c r="C55" s="68"/>
      <c r="D55" s="70"/>
      <c r="E55" s="68"/>
      <c r="F55" s="96"/>
      <c r="G55" s="95" t="str">
        <f t="shared" si="0"/>
        <v/>
      </c>
      <c r="H55" s="91" t="str">
        <f>IF(E55&lt;&gt;"",E55/'Project Summary'!$C$9,"")</f>
        <v/>
      </c>
      <c r="I55" s="97" t="str">
        <f>IF(F55&lt;&gt;"",F55/'Project Summary'!$C$10, "")</f>
        <v/>
      </c>
      <c r="J55" s="68"/>
      <c r="K55" s="69"/>
      <c r="L55" s="102"/>
      <c r="M55" s="102"/>
      <c r="N55" s="68"/>
      <c r="O55" s="68"/>
      <c r="P55" s="106"/>
      <c r="Q55" s="107"/>
      <c r="R55" s="107"/>
      <c r="S55" s="107"/>
      <c r="T55" s="107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</row>
    <row r="56" spans="2:36" x14ac:dyDescent="0.25">
      <c r="B56" s="68"/>
      <c r="C56" s="68"/>
      <c r="D56" s="70"/>
      <c r="E56" s="68"/>
      <c r="F56" s="96"/>
      <c r="G56" s="95" t="str">
        <f t="shared" si="0"/>
        <v/>
      </c>
      <c r="H56" s="91" t="str">
        <f>IF(E56&lt;&gt;"",E56/'Project Summary'!$C$9,"")</f>
        <v/>
      </c>
      <c r="I56" s="97" t="str">
        <f>IF(F56&lt;&gt;"",F56/'Project Summary'!$C$10, "")</f>
        <v/>
      </c>
      <c r="J56" s="68"/>
      <c r="K56" s="69"/>
      <c r="L56" s="102"/>
      <c r="M56" s="102"/>
      <c r="N56" s="68"/>
      <c r="O56" s="68"/>
      <c r="P56" s="106"/>
      <c r="Q56" s="107"/>
      <c r="R56" s="107"/>
      <c r="S56" s="107"/>
      <c r="T56" s="107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</row>
    <row r="57" spans="2:36" x14ac:dyDescent="0.25">
      <c r="B57" s="68"/>
      <c r="C57" s="68"/>
      <c r="D57" s="70"/>
      <c r="E57" s="68"/>
      <c r="F57" s="96"/>
      <c r="G57" s="95" t="str">
        <f t="shared" si="0"/>
        <v/>
      </c>
      <c r="H57" s="91" t="str">
        <f>IF(E57&lt;&gt;"",E57/'Project Summary'!$C$9,"")</f>
        <v/>
      </c>
      <c r="I57" s="97" t="str">
        <f>IF(F57&lt;&gt;"",F57/'Project Summary'!$C$10, "")</f>
        <v/>
      </c>
      <c r="J57" s="68"/>
      <c r="K57" s="69"/>
      <c r="L57" s="102"/>
      <c r="M57" s="102"/>
      <c r="N57" s="68"/>
      <c r="O57" s="68"/>
      <c r="P57" s="106"/>
      <c r="Q57" s="107"/>
      <c r="R57" s="107"/>
      <c r="S57" s="107"/>
      <c r="T57" s="107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</row>
    <row r="58" spans="2:36" x14ac:dyDescent="0.25">
      <c r="B58" s="68"/>
      <c r="C58" s="68"/>
      <c r="D58" s="70"/>
      <c r="E58" s="68"/>
      <c r="F58" s="96"/>
      <c r="G58" s="95" t="str">
        <f t="shared" si="0"/>
        <v/>
      </c>
      <c r="H58" s="91" t="str">
        <f>IF(E58&lt;&gt;"",E58/'Project Summary'!$C$9,"")</f>
        <v/>
      </c>
      <c r="I58" s="97" t="str">
        <f>IF(F58&lt;&gt;"",F58/'Project Summary'!$C$10, "")</f>
        <v/>
      </c>
      <c r="J58" s="68"/>
      <c r="K58" s="69"/>
      <c r="L58" s="102"/>
      <c r="M58" s="102"/>
      <c r="N58" s="68"/>
      <c r="O58" s="68"/>
      <c r="P58" s="106"/>
      <c r="Q58" s="107"/>
      <c r="R58" s="107"/>
      <c r="S58" s="107"/>
      <c r="T58" s="107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</row>
    <row r="59" spans="2:36" x14ac:dyDescent="0.25">
      <c r="B59" s="68"/>
      <c r="C59" s="68"/>
      <c r="D59" s="70"/>
      <c r="E59" s="68"/>
      <c r="F59" s="96"/>
      <c r="G59" s="95" t="str">
        <f t="shared" si="0"/>
        <v/>
      </c>
      <c r="H59" s="91" t="str">
        <f>IF(E59&lt;&gt;"",E59/'Project Summary'!$C$9,"")</f>
        <v/>
      </c>
      <c r="I59" s="97" t="str">
        <f>IF(F59&lt;&gt;"",F59/'Project Summary'!$C$10, "")</f>
        <v/>
      </c>
      <c r="J59" s="68"/>
      <c r="K59" s="69"/>
      <c r="L59" s="102"/>
      <c r="M59" s="102"/>
      <c r="N59" s="68"/>
      <c r="O59" s="68"/>
      <c r="P59" s="106"/>
      <c r="Q59" s="107"/>
      <c r="R59" s="107"/>
      <c r="S59" s="107"/>
      <c r="T59" s="107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</row>
    <row r="60" spans="2:36" x14ac:dyDescent="0.25">
      <c r="B60" s="68"/>
      <c r="C60" s="68"/>
      <c r="D60" s="70"/>
      <c r="E60" s="68"/>
      <c r="F60" s="96"/>
      <c r="G60" s="95" t="str">
        <f t="shared" si="0"/>
        <v/>
      </c>
      <c r="H60" s="91" t="str">
        <f>IF(E60&lt;&gt;"",E60/'Project Summary'!$C$9,"")</f>
        <v/>
      </c>
      <c r="I60" s="97" t="str">
        <f>IF(F60&lt;&gt;"",F60/'Project Summary'!$C$10, "")</f>
        <v/>
      </c>
      <c r="J60" s="68"/>
      <c r="K60" s="69"/>
      <c r="L60" s="102"/>
      <c r="M60" s="102"/>
      <c r="N60" s="68"/>
      <c r="O60" s="68"/>
      <c r="P60" s="106"/>
      <c r="Q60" s="107"/>
      <c r="R60" s="107"/>
      <c r="S60" s="107"/>
      <c r="T60" s="107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</row>
    <row r="61" spans="2:36" x14ac:dyDescent="0.25">
      <c r="B61" s="68"/>
      <c r="C61" s="68"/>
      <c r="D61" s="70"/>
      <c r="E61" s="68"/>
      <c r="F61" s="96"/>
      <c r="G61" s="95" t="str">
        <f t="shared" si="0"/>
        <v/>
      </c>
      <c r="H61" s="91" t="str">
        <f>IF(E61&lt;&gt;"",E61/'Project Summary'!$C$9,"")</f>
        <v/>
      </c>
      <c r="I61" s="97" t="str">
        <f>IF(F61&lt;&gt;"",F61/'Project Summary'!$C$10, "")</f>
        <v/>
      </c>
      <c r="J61" s="68"/>
      <c r="K61" s="69"/>
      <c r="L61" s="102"/>
      <c r="M61" s="102"/>
      <c r="N61" s="68"/>
      <c r="O61" s="68"/>
      <c r="P61" s="106"/>
      <c r="Q61" s="107"/>
      <c r="R61" s="107"/>
      <c r="S61" s="107"/>
      <c r="T61" s="107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</row>
    <row r="62" spans="2:36" x14ac:dyDescent="0.25">
      <c r="B62" s="68"/>
      <c r="C62" s="68"/>
      <c r="D62" s="70"/>
      <c r="E62" s="68"/>
      <c r="F62" s="96"/>
      <c r="G62" s="95" t="str">
        <f t="shared" si="0"/>
        <v/>
      </c>
      <c r="H62" s="91" t="str">
        <f>IF(E62&lt;&gt;"",E62/'Project Summary'!$C$9,"")</f>
        <v/>
      </c>
      <c r="I62" s="97" t="str">
        <f>IF(F62&lt;&gt;"",F62/'Project Summary'!$C$10, "")</f>
        <v/>
      </c>
      <c r="J62" s="68"/>
      <c r="K62" s="69"/>
      <c r="L62" s="102"/>
      <c r="M62" s="102"/>
      <c r="N62" s="68"/>
      <c r="O62" s="68"/>
      <c r="P62" s="106"/>
      <c r="Q62" s="107"/>
      <c r="R62" s="107"/>
      <c r="S62" s="107"/>
      <c r="T62" s="107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</row>
    <row r="63" spans="2:36" x14ac:dyDescent="0.25">
      <c r="B63" s="68"/>
      <c r="C63" s="68"/>
      <c r="D63" s="70"/>
      <c r="E63" s="68"/>
      <c r="F63" s="96"/>
      <c r="G63" s="95" t="str">
        <f t="shared" si="0"/>
        <v/>
      </c>
      <c r="H63" s="91" t="str">
        <f>IF(E63&lt;&gt;"",E63/'Project Summary'!$C$9,"")</f>
        <v/>
      </c>
      <c r="I63" s="97" t="str">
        <f>IF(F63&lt;&gt;"",F63/'Project Summary'!$C$10, "")</f>
        <v/>
      </c>
      <c r="J63" s="68"/>
      <c r="K63" s="69"/>
      <c r="L63" s="102"/>
      <c r="M63" s="102"/>
      <c r="N63" s="68"/>
      <c r="O63" s="68"/>
      <c r="P63" s="106"/>
      <c r="Q63" s="107"/>
      <c r="R63" s="107"/>
      <c r="S63" s="107"/>
      <c r="T63" s="107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</row>
    <row r="64" spans="2:36" x14ac:dyDescent="0.25">
      <c r="B64" s="68"/>
      <c r="C64" s="68"/>
      <c r="D64" s="70"/>
      <c r="E64" s="68"/>
      <c r="F64" s="96"/>
      <c r="G64" s="95" t="str">
        <f t="shared" si="0"/>
        <v/>
      </c>
      <c r="H64" s="91" t="str">
        <f>IF(E64&lt;&gt;"",E64/'Project Summary'!$C$9,"")</f>
        <v/>
      </c>
      <c r="I64" s="97" t="str">
        <f>IF(F64&lt;&gt;"",F64/'Project Summary'!$C$10, "")</f>
        <v/>
      </c>
      <c r="J64" s="68"/>
      <c r="K64" s="69"/>
      <c r="L64" s="102"/>
      <c r="M64" s="102"/>
      <c r="N64" s="68"/>
      <c r="O64" s="68"/>
      <c r="P64" s="106"/>
      <c r="Q64" s="107"/>
      <c r="R64" s="107"/>
      <c r="S64" s="107"/>
      <c r="T64" s="107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</row>
    <row r="65" spans="2:36" x14ac:dyDescent="0.25">
      <c r="B65" s="68"/>
      <c r="C65" s="68"/>
      <c r="D65" s="70"/>
      <c r="E65" s="68"/>
      <c r="F65" s="96"/>
      <c r="G65" s="95" t="str">
        <f t="shared" si="0"/>
        <v/>
      </c>
      <c r="H65" s="91" t="str">
        <f>IF(E65&lt;&gt;"",E65/'Project Summary'!$C$9,"")</f>
        <v/>
      </c>
      <c r="I65" s="97" t="str">
        <f>IF(F65&lt;&gt;"",F65/'Project Summary'!$C$10, "")</f>
        <v/>
      </c>
      <c r="J65" s="68"/>
      <c r="K65" s="69"/>
      <c r="L65" s="102"/>
      <c r="M65" s="102"/>
      <c r="N65" s="68"/>
      <c r="O65" s="68"/>
      <c r="P65" s="106"/>
      <c r="Q65" s="107"/>
      <c r="R65" s="107"/>
      <c r="S65" s="107"/>
      <c r="T65" s="107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</row>
    <row r="66" spans="2:36" x14ac:dyDescent="0.25">
      <c r="B66" s="68"/>
      <c r="C66" s="68"/>
      <c r="D66" s="70"/>
      <c r="E66" s="68"/>
      <c r="F66" s="96"/>
      <c r="G66" s="95" t="str">
        <f t="shared" si="0"/>
        <v/>
      </c>
      <c r="H66" s="91" t="str">
        <f>IF(E66&lt;&gt;"",E66/'Project Summary'!$C$9,"")</f>
        <v/>
      </c>
      <c r="I66" s="97" t="str">
        <f>IF(F66&lt;&gt;"",F66/'Project Summary'!$C$10, "")</f>
        <v/>
      </c>
      <c r="J66" s="68"/>
      <c r="K66" s="69"/>
      <c r="L66" s="102"/>
      <c r="M66" s="102"/>
      <c r="N66" s="68"/>
      <c r="O66" s="68"/>
      <c r="P66" s="106"/>
      <c r="Q66" s="107"/>
      <c r="R66" s="107"/>
      <c r="S66" s="107"/>
      <c r="T66" s="107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</row>
    <row r="67" spans="2:36" x14ac:dyDescent="0.25">
      <c r="B67" s="68"/>
      <c r="C67" s="68"/>
      <c r="D67" s="70"/>
      <c r="E67" s="68"/>
      <c r="F67" s="96"/>
      <c r="G67" s="95" t="str">
        <f t="shared" si="0"/>
        <v/>
      </c>
      <c r="H67" s="91" t="str">
        <f>IF(E67&lt;&gt;"",E67/'Project Summary'!$C$9,"")</f>
        <v/>
      </c>
      <c r="I67" s="97" t="str">
        <f>IF(F67&lt;&gt;"",F67/'Project Summary'!$C$10, "")</f>
        <v/>
      </c>
      <c r="J67" s="68"/>
      <c r="K67" s="69"/>
      <c r="L67" s="102"/>
      <c r="M67" s="102"/>
      <c r="N67" s="68"/>
      <c r="O67" s="68"/>
      <c r="P67" s="106"/>
      <c r="Q67" s="107"/>
      <c r="R67" s="107"/>
      <c r="S67" s="107"/>
      <c r="T67" s="107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</row>
    <row r="68" spans="2:36" x14ac:dyDescent="0.25">
      <c r="B68" s="68"/>
      <c r="C68" s="68"/>
      <c r="D68" s="70"/>
      <c r="E68" s="68"/>
      <c r="F68" s="96"/>
      <c r="G68" s="95" t="str">
        <f t="shared" si="0"/>
        <v/>
      </c>
      <c r="H68" s="91" t="str">
        <f>IF(E68&lt;&gt;"",E68/'Project Summary'!$C$9,"")</f>
        <v/>
      </c>
      <c r="I68" s="97" t="str">
        <f>IF(F68&lt;&gt;"",F68/'Project Summary'!$C$10, "")</f>
        <v/>
      </c>
      <c r="J68" s="68"/>
      <c r="K68" s="69"/>
      <c r="L68" s="102"/>
      <c r="M68" s="102"/>
      <c r="N68" s="68"/>
      <c r="O68" s="68"/>
      <c r="P68" s="106"/>
      <c r="Q68" s="107"/>
      <c r="R68" s="107"/>
      <c r="S68" s="107"/>
      <c r="T68" s="107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</row>
    <row r="69" spans="2:36" x14ac:dyDescent="0.25">
      <c r="B69" s="68"/>
      <c r="C69" s="68"/>
      <c r="D69" s="70"/>
      <c r="E69" s="68"/>
      <c r="F69" s="96"/>
      <c r="G69" s="95" t="str">
        <f t="shared" si="0"/>
        <v/>
      </c>
      <c r="H69" s="91" t="str">
        <f>IF(E69&lt;&gt;"",E69/'Project Summary'!$C$9,"")</f>
        <v/>
      </c>
      <c r="I69" s="97" t="str">
        <f>IF(F69&lt;&gt;"",F69/'Project Summary'!$C$10, "")</f>
        <v/>
      </c>
      <c r="J69" s="68"/>
      <c r="K69" s="69"/>
      <c r="L69" s="102"/>
      <c r="M69" s="102"/>
      <c r="N69" s="68"/>
      <c r="O69" s="68"/>
      <c r="P69" s="106"/>
      <c r="Q69" s="107"/>
      <c r="R69" s="107"/>
      <c r="S69" s="107"/>
      <c r="T69" s="107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</row>
    <row r="70" spans="2:36" x14ac:dyDescent="0.25">
      <c r="B70" s="68"/>
      <c r="C70" s="68"/>
      <c r="D70" s="70"/>
      <c r="E70" s="68"/>
      <c r="F70" s="96"/>
      <c r="G70" s="95" t="str">
        <f t="shared" si="0"/>
        <v/>
      </c>
      <c r="H70" s="91" t="str">
        <f>IF(E70&lt;&gt;"",E70/'Project Summary'!$C$9,"")</f>
        <v/>
      </c>
      <c r="I70" s="97" t="str">
        <f>IF(F70&lt;&gt;"",F70/'Project Summary'!$C$10, "")</f>
        <v/>
      </c>
      <c r="J70" s="68"/>
      <c r="K70" s="69"/>
      <c r="L70" s="102"/>
      <c r="M70" s="102"/>
      <c r="N70" s="68"/>
      <c r="O70" s="68"/>
      <c r="P70" s="106"/>
      <c r="Q70" s="107"/>
      <c r="R70" s="107"/>
      <c r="S70" s="107"/>
      <c r="T70" s="107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</row>
    <row r="71" spans="2:36" x14ac:dyDescent="0.25">
      <c r="B71" s="68"/>
      <c r="C71" s="68"/>
      <c r="D71" s="70"/>
      <c r="E71" s="68"/>
      <c r="F71" s="96"/>
      <c r="G71" s="95" t="str">
        <f t="shared" si="0"/>
        <v/>
      </c>
      <c r="H71" s="91" t="str">
        <f>IF(E71&lt;&gt;"",E71/'Project Summary'!$C$9,"")</f>
        <v/>
      </c>
      <c r="I71" s="97" t="str">
        <f>IF(F71&lt;&gt;"",F71/'Project Summary'!$C$10, "")</f>
        <v/>
      </c>
      <c r="J71" s="68"/>
      <c r="K71" s="69"/>
      <c r="L71" s="102"/>
      <c r="M71" s="102"/>
      <c r="N71" s="68"/>
      <c r="O71" s="68"/>
      <c r="P71" s="106"/>
      <c r="Q71" s="107"/>
      <c r="R71" s="107"/>
      <c r="S71" s="107"/>
      <c r="T71" s="107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</row>
    <row r="72" spans="2:36" x14ac:dyDescent="0.25">
      <c r="B72" s="68"/>
      <c r="C72" s="68"/>
      <c r="D72" s="70"/>
      <c r="E72" s="68"/>
      <c r="F72" s="96"/>
      <c r="G72" s="95" t="str">
        <f t="shared" si="0"/>
        <v/>
      </c>
      <c r="H72" s="91" t="str">
        <f>IF(E72&lt;&gt;"",E72/'Project Summary'!$C$9,"")</f>
        <v/>
      </c>
      <c r="I72" s="97" t="str">
        <f>IF(F72&lt;&gt;"",F72/'Project Summary'!$C$10, "")</f>
        <v/>
      </c>
      <c r="J72" s="68"/>
      <c r="K72" s="69"/>
      <c r="L72" s="102"/>
      <c r="M72" s="102"/>
      <c r="N72" s="68"/>
      <c r="O72" s="68"/>
      <c r="P72" s="106"/>
      <c r="Q72" s="107"/>
      <c r="R72" s="107"/>
      <c r="S72" s="107"/>
      <c r="T72" s="107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</row>
    <row r="73" spans="2:36" x14ac:dyDescent="0.25">
      <c r="B73" s="68"/>
      <c r="C73" s="68"/>
      <c r="D73" s="70"/>
      <c r="E73" s="68"/>
      <c r="F73" s="96"/>
      <c r="G73" s="95" t="str">
        <f t="shared" si="0"/>
        <v/>
      </c>
      <c r="H73" s="91" t="str">
        <f>IF(E73&lt;&gt;"",E73/'Project Summary'!$C$9,"")</f>
        <v/>
      </c>
      <c r="I73" s="97" t="str">
        <f>IF(F73&lt;&gt;"",F73/'Project Summary'!$C$10, "")</f>
        <v/>
      </c>
      <c r="J73" s="68"/>
      <c r="K73" s="69"/>
      <c r="L73" s="102"/>
      <c r="M73" s="102"/>
      <c r="N73" s="68"/>
      <c r="O73" s="68"/>
      <c r="P73" s="106"/>
      <c r="Q73" s="107"/>
      <c r="R73" s="107"/>
      <c r="S73" s="107"/>
      <c r="T73" s="107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</row>
    <row r="74" spans="2:36" x14ac:dyDescent="0.25">
      <c r="B74" s="68"/>
      <c r="C74" s="68"/>
      <c r="D74" s="70"/>
      <c r="E74" s="68"/>
      <c r="F74" s="96"/>
      <c r="G74" s="95" t="str">
        <f t="shared" si="0"/>
        <v/>
      </c>
      <c r="H74" s="91" t="str">
        <f>IF(E74&lt;&gt;"",E74/'Project Summary'!$C$9,"")</f>
        <v/>
      </c>
      <c r="I74" s="97" t="str">
        <f>IF(F74&lt;&gt;"",F74/'Project Summary'!$C$10, "")</f>
        <v/>
      </c>
      <c r="J74" s="68"/>
      <c r="K74" s="69"/>
      <c r="L74" s="102"/>
      <c r="M74" s="102"/>
      <c r="N74" s="68"/>
      <c r="O74" s="68"/>
      <c r="P74" s="106"/>
      <c r="Q74" s="107"/>
      <c r="R74" s="107"/>
      <c r="S74" s="107"/>
      <c r="T74" s="107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</row>
    <row r="75" spans="2:36" x14ac:dyDescent="0.25">
      <c r="B75" s="68"/>
      <c r="C75" s="68"/>
      <c r="D75" s="70"/>
      <c r="E75" s="68"/>
      <c r="F75" s="96"/>
      <c r="G75" s="95" t="str">
        <f t="shared" si="0"/>
        <v/>
      </c>
      <c r="H75" s="91" t="str">
        <f>IF(E75&lt;&gt;"",E75/'Project Summary'!$C$9,"")</f>
        <v/>
      </c>
      <c r="I75" s="97" t="str">
        <f>IF(F75&lt;&gt;"",F75/'Project Summary'!$C$10, "")</f>
        <v/>
      </c>
      <c r="J75" s="68"/>
      <c r="K75" s="69"/>
      <c r="L75" s="102"/>
      <c r="M75" s="102"/>
      <c r="N75" s="68"/>
      <c r="O75" s="68"/>
      <c r="P75" s="106"/>
      <c r="Q75" s="107"/>
      <c r="R75" s="107"/>
      <c r="S75" s="107"/>
      <c r="T75" s="107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</row>
    <row r="76" spans="2:36" x14ac:dyDescent="0.25">
      <c r="B76" s="68"/>
      <c r="C76" s="68"/>
      <c r="D76" s="70"/>
      <c r="E76" s="68"/>
      <c r="F76" s="96"/>
      <c r="G76" s="95" t="str">
        <f t="shared" ref="G76:G139" si="1">IF(D76&lt;&gt;"", D76/E76, "")</f>
        <v/>
      </c>
      <c r="H76" s="91" t="str">
        <f>IF(E76&lt;&gt;"",E76/'Project Summary'!$C$9,"")</f>
        <v/>
      </c>
      <c r="I76" s="97" t="str">
        <f>IF(F76&lt;&gt;"",F76/'Project Summary'!$C$10, "")</f>
        <v/>
      </c>
      <c r="J76" s="68"/>
      <c r="K76" s="69"/>
      <c r="L76" s="102"/>
      <c r="M76" s="102"/>
      <c r="N76" s="68"/>
      <c r="O76" s="68"/>
      <c r="P76" s="106"/>
      <c r="Q76" s="107"/>
      <c r="R76" s="107"/>
      <c r="S76" s="107"/>
      <c r="T76" s="107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</row>
    <row r="77" spans="2:36" x14ac:dyDescent="0.25">
      <c r="B77" s="68"/>
      <c r="C77" s="68"/>
      <c r="D77" s="70"/>
      <c r="E77" s="68"/>
      <c r="F77" s="96"/>
      <c r="G77" s="95" t="str">
        <f t="shared" si="1"/>
        <v/>
      </c>
      <c r="H77" s="91" t="str">
        <f>IF(E77&lt;&gt;"",E77/'Project Summary'!$C$9,"")</f>
        <v/>
      </c>
      <c r="I77" s="97" t="str">
        <f>IF(F77&lt;&gt;"",F77/'Project Summary'!$C$10, "")</f>
        <v/>
      </c>
      <c r="J77" s="68"/>
      <c r="K77" s="69"/>
      <c r="L77" s="102"/>
      <c r="M77" s="102"/>
      <c r="N77" s="68"/>
      <c r="O77" s="68"/>
      <c r="P77" s="106"/>
      <c r="Q77" s="107"/>
      <c r="R77" s="107"/>
      <c r="S77" s="107"/>
      <c r="T77" s="107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</row>
    <row r="78" spans="2:36" x14ac:dyDescent="0.25">
      <c r="B78" s="68"/>
      <c r="C78" s="68"/>
      <c r="D78" s="70"/>
      <c r="E78" s="68"/>
      <c r="F78" s="96"/>
      <c r="G78" s="95" t="str">
        <f t="shared" si="1"/>
        <v/>
      </c>
      <c r="H78" s="91" t="str">
        <f>IF(E78&lt;&gt;"",E78/'Project Summary'!$C$9,"")</f>
        <v/>
      </c>
      <c r="I78" s="97" t="str">
        <f>IF(F78&lt;&gt;"",F78/'Project Summary'!$C$10, "")</f>
        <v/>
      </c>
      <c r="J78" s="68"/>
      <c r="K78" s="69"/>
      <c r="L78" s="102"/>
      <c r="M78" s="102"/>
      <c r="N78" s="68"/>
      <c r="O78" s="68"/>
      <c r="P78" s="106"/>
      <c r="Q78" s="107"/>
      <c r="R78" s="107"/>
      <c r="S78" s="107"/>
      <c r="T78" s="107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</row>
    <row r="79" spans="2:36" x14ac:dyDescent="0.25">
      <c r="B79" s="68"/>
      <c r="C79" s="68"/>
      <c r="D79" s="70"/>
      <c r="E79" s="68"/>
      <c r="F79" s="96"/>
      <c r="G79" s="95" t="str">
        <f t="shared" si="1"/>
        <v/>
      </c>
      <c r="H79" s="91" t="str">
        <f>IF(E79&lt;&gt;"",E79/'Project Summary'!$C$9,"")</f>
        <v/>
      </c>
      <c r="I79" s="97" t="str">
        <f>IF(F79&lt;&gt;"",F79/'Project Summary'!$C$10, "")</f>
        <v/>
      </c>
      <c r="J79" s="68"/>
      <c r="K79" s="69"/>
      <c r="L79" s="102"/>
      <c r="M79" s="102"/>
      <c r="N79" s="68"/>
      <c r="O79" s="68"/>
      <c r="P79" s="106"/>
      <c r="Q79" s="107"/>
      <c r="R79" s="107"/>
      <c r="S79" s="107"/>
      <c r="T79" s="107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</row>
    <row r="80" spans="2:36" x14ac:dyDescent="0.25">
      <c r="B80" s="68"/>
      <c r="C80" s="68"/>
      <c r="D80" s="70"/>
      <c r="E80" s="68"/>
      <c r="F80" s="96"/>
      <c r="G80" s="95" t="str">
        <f t="shared" si="1"/>
        <v/>
      </c>
      <c r="H80" s="91" t="str">
        <f>IF(E80&lt;&gt;"",E80/'Project Summary'!$C$9,"")</f>
        <v/>
      </c>
      <c r="I80" s="97" t="str">
        <f>IF(F80&lt;&gt;"",F80/'Project Summary'!$C$10, "")</f>
        <v/>
      </c>
      <c r="J80" s="68"/>
      <c r="K80" s="69"/>
      <c r="L80" s="102"/>
      <c r="M80" s="102"/>
      <c r="N80" s="68"/>
      <c r="O80" s="68"/>
      <c r="P80" s="106"/>
      <c r="Q80" s="107"/>
      <c r="R80" s="107"/>
      <c r="S80" s="107"/>
      <c r="T80" s="107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</row>
    <row r="81" spans="2:36" x14ac:dyDescent="0.25">
      <c r="B81" s="68"/>
      <c r="C81" s="68"/>
      <c r="D81" s="70"/>
      <c r="E81" s="68"/>
      <c r="F81" s="96"/>
      <c r="G81" s="95" t="str">
        <f t="shared" si="1"/>
        <v/>
      </c>
      <c r="H81" s="91" t="str">
        <f>IF(E81&lt;&gt;"",E81/'Project Summary'!$C$9,"")</f>
        <v/>
      </c>
      <c r="I81" s="97" t="str">
        <f>IF(F81&lt;&gt;"",F81/'Project Summary'!$C$10, "")</f>
        <v/>
      </c>
      <c r="J81" s="68"/>
      <c r="K81" s="69"/>
      <c r="L81" s="102"/>
      <c r="M81" s="102"/>
      <c r="N81" s="68"/>
      <c r="O81" s="68"/>
      <c r="P81" s="106"/>
      <c r="Q81" s="107"/>
      <c r="R81" s="107"/>
      <c r="S81" s="107"/>
      <c r="T81" s="107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</row>
    <row r="82" spans="2:36" x14ac:dyDescent="0.25">
      <c r="B82" s="68"/>
      <c r="C82" s="68"/>
      <c r="D82" s="70"/>
      <c r="E82" s="68"/>
      <c r="F82" s="96"/>
      <c r="G82" s="95" t="str">
        <f t="shared" si="1"/>
        <v/>
      </c>
      <c r="H82" s="91" t="str">
        <f>IF(E82&lt;&gt;"",E82/'Project Summary'!$C$9,"")</f>
        <v/>
      </c>
      <c r="I82" s="97" t="str">
        <f>IF(F82&lt;&gt;"",F82/'Project Summary'!$C$10, "")</f>
        <v/>
      </c>
      <c r="J82" s="68"/>
      <c r="K82" s="69"/>
      <c r="L82" s="102"/>
      <c r="M82" s="102"/>
      <c r="N82" s="68"/>
      <c r="O82" s="68"/>
      <c r="P82" s="106"/>
      <c r="Q82" s="107"/>
      <c r="R82" s="107"/>
      <c r="S82" s="107"/>
      <c r="T82" s="107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</row>
    <row r="83" spans="2:36" x14ac:dyDescent="0.25">
      <c r="B83" s="68"/>
      <c r="C83" s="68"/>
      <c r="D83" s="70"/>
      <c r="E83" s="68"/>
      <c r="F83" s="96"/>
      <c r="G83" s="95" t="str">
        <f t="shared" si="1"/>
        <v/>
      </c>
      <c r="H83" s="91" t="str">
        <f>IF(E83&lt;&gt;"",E83/'Project Summary'!$C$9,"")</f>
        <v/>
      </c>
      <c r="I83" s="97" t="str">
        <f>IF(F83&lt;&gt;"",F83/'Project Summary'!$C$10, "")</f>
        <v/>
      </c>
      <c r="J83" s="68"/>
      <c r="K83" s="69"/>
      <c r="L83" s="102"/>
      <c r="M83" s="102"/>
      <c r="N83" s="68"/>
      <c r="O83" s="68"/>
      <c r="P83" s="106"/>
      <c r="Q83" s="107"/>
      <c r="R83" s="107"/>
      <c r="S83" s="107"/>
      <c r="T83" s="107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</row>
    <row r="84" spans="2:36" x14ac:dyDescent="0.25">
      <c r="B84" s="68"/>
      <c r="C84" s="68"/>
      <c r="D84" s="70"/>
      <c r="E84" s="68"/>
      <c r="F84" s="96"/>
      <c r="G84" s="95" t="str">
        <f t="shared" si="1"/>
        <v/>
      </c>
      <c r="H84" s="91" t="str">
        <f>IF(E84&lt;&gt;"",E84/'Project Summary'!$C$9,"")</f>
        <v/>
      </c>
      <c r="I84" s="97" t="str">
        <f>IF(F84&lt;&gt;"",F84/'Project Summary'!$C$10, "")</f>
        <v/>
      </c>
      <c r="J84" s="68"/>
      <c r="K84" s="69"/>
      <c r="L84" s="102"/>
      <c r="M84" s="102"/>
      <c r="N84" s="68"/>
      <c r="O84" s="68"/>
      <c r="P84" s="106"/>
      <c r="Q84" s="107"/>
      <c r="R84" s="107"/>
      <c r="S84" s="107"/>
      <c r="T84" s="107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</row>
    <row r="85" spans="2:36" x14ac:dyDescent="0.25">
      <c r="B85" s="68"/>
      <c r="C85" s="68"/>
      <c r="D85" s="70"/>
      <c r="E85" s="68"/>
      <c r="F85" s="96"/>
      <c r="G85" s="95" t="str">
        <f t="shared" si="1"/>
        <v/>
      </c>
      <c r="H85" s="91" t="str">
        <f>IF(E85&lt;&gt;"",E85/'Project Summary'!$C$9,"")</f>
        <v/>
      </c>
      <c r="I85" s="97" t="str">
        <f>IF(F85&lt;&gt;"",F85/'Project Summary'!$C$10, "")</f>
        <v/>
      </c>
      <c r="J85" s="68"/>
      <c r="K85" s="69"/>
      <c r="L85" s="102"/>
      <c r="M85" s="102"/>
      <c r="N85" s="68"/>
      <c r="O85" s="68"/>
      <c r="P85" s="106"/>
      <c r="Q85" s="107"/>
      <c r="R85" s="107"/>
      <c r="S85" s="107"/>
      <c r="T85" s="107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</row>
    <row r="86" spans="2:36" x14ac:dyDescent="0.25">
      <c r="B86" s="68"/>
      <c r="C86" s="68"/>
      <c r="D86" s="70"/>
      <c r="E86" s="68"/>
      <c r="F86" s="96"/>
      <c r="G86" s="95" t="str">
        <f t="shared" si="1"/>
        <v/>
      </c>
      <c r="H86" s="91" t="str">
        <f>IF(E86&lt;&gt;"",E86/'Project Summary'!$C$9,"")</f>
        <v/>
      </c>
      <c r="I86" s="97" t="str">
        <f>IF(F86&lt;&gt;"",F86/'Project Summary'!$C$10, "")</f>
        <v/>
      </c>
      <c r="J86" s="68"/>
      <c r="K86" s="69"/>
      <c r="L86" s="102"/>
      <c r="M86" s="102"/>
      <c r="N86" s="68"/>
      <c r="O86" s="68"/>
      <c r="P86" s="106"/>
      <c r="Q86" s="107"/>
      <c r="R86" s="107"/>
      <c r="S86" s="107"/>
      <c r="T86" s="107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</row>
    <row r="87" spans="2:36" x14ac:dyDescent="0.25">
      <c r="B87" s="68"/>
      <c r="C87" s="68"/>
      <c r="D87" s="70"/>
      <c r="E87" s="68"/>
      <c r="F87" s="96"/>
      <c r="G87" s="95" t="str">
        <f t="shared" si="1"/>
        <v/>
      </c>
      <c r="H87" s="91" t="str">
        <f>IF(E87&lt;&gt;"",E87/'Project Summary'!$C$9,"")</f>
        <v/>
      </c>
      <c r="I87" s="97" t="str">
        <f>IF(F87&lt;&gt;"",F87/'Project Summary'!$C$10, "")</f>
        <v/>
      </c>
      <c r="J87" s="68"/>
      <c r="K87" s="69"/>
      <c r="L87" s="102"/>
      <c r="M87" s="102"/>
      <c r="N87" s="68"/>
      <c r="O87" s="68"/>
      <c r="P87" s="106"/>
      <c r="Q87" s="107"/>
      <c r="R87" s="107"/>
      <c r="S87" s="107"/>
      <c r="T87" s="107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</row>
    <row r="88" spans="2:36" x14ac:dyDescent="0.25">
      <c r="B88" s="68"/>
      <c r="C88" s="68"/>
      <c r="D88" s="70"/>
      <c r="E88" s="68"/>
      <c r="F88" s="96"/>
      <c r="G88" s="95" t="str">
        <f t="shared" si="1"/>
        <v/>
      </c>
      <c r="H88" s="91" t="str">
        <f>IF(E88&lt;&gt;"",E88/'Project Summary'!$C$9,"")</f>
        <v/>
      </c>
      <c r="I88" s="97" t="str">
        <f>IF(F88&lt;&gt;"",F88/'Project Summary'!$C$10, "")</f>
        <v/>
      </c>
      <c r="J88" s="68"/>
      <c r="K88" s="69"/>
      <c r="L88" s="102"/>
      <c r="M88" s="102"/>
      <c r="N88" s="68"/>
      <c r="O88" s="68"/>
      <c r="P88" s="106"/>
      <c r="Q88" s="107"/>
      <c r="R88" s="107"/>
      <c r="S88" s="107"/>
      <c r="T88" s="107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</row>
    <row r="89" spans="2:36" x14ac:dyDescent="0.25">
      <c r="B89" s="68"/>
      <c r="C89" s="68"/>
      <c r="D89" s="70"/>
      <c r="E89" s="68"/>
      <c r="F89" s="96"/>
      <c r="G89" s="95" t="str">
        <f t="shared" si="1"/>
        <v/>
      </c>
      <c r="H89" s="91" t="str">
        <f>IF(E89&lt;&gt;"",E89/'Project Summary'!$C$9,"")</f>
        <v/>
      </c>
      <c r="I89" s="97" t="str">
        <f>IF(F89&lt;&gt;"",F89/'Project Summary'!$C$10, "")</f>
        <v/>
      </c>
      <c r="J89" s="68"/>
      <c r="K89" s="69"/>
      <c r="L89" s="102"/>
      <c r="M89" s="102"/>
      <c r="N89" s="68"/>
      <c r="O89" s="68"/>
      <c r="P89" s="106"/>
      <c r="Q89" s="107"/>
      <c r="R89" s="107"/>
      <c r="S89" s="107"/>
      <c r="T89" s="107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</row>
    <row r="90" spans="2:36" x14ac:dyDescent="0.25">
      <c r="B90" s="68"/>
      <c r="C90" s="68"/>
      <c r="D90" s="70"/>
      <c r="E90" s="68"/>
      <c r="F90" s="96"/>
      <c r="G90" s="95" t="str">
        <f t="shared" si="1"/>
        <v/>
      </c>
      <c r="H90" s="91" t="str">
        <f>IF(E90&lt;&gt;"",E90/'Project Summary'!$C$9,"")</f>
        <v/>
      </c>
      <c r="I90" s="97" t="str">
        <f>IF(F90&lt;&gt;"",F90/'Project Summary'!$C$10, "")</f>
        <v/>
      </c>
      <c r="J90" s="68"/>
      <c r="K90" s="69"/>
      <c r="L90" s="102"/>
      <c r="M90" s="102"/>
      <c r="N90" s="68"/>
      <c r="O90" s="68"/>
      <c r="P90" s="106"/>
      <c r="Q90" s="107"/>
      <c r="R90" s="107"/>
      <c r="S90" s="107"/>
      <c r="T90" s="107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</row>
    <row r="91" spans="2:36" x14ac:dyDescent="0.25">
      <c r="B91" s="68"/>
      <c r="C91" s="68"/>
      <c r="D91" s="70"/>
      <c r="E91" s="68"/>
      <c r="F91" s="96"/>
      <c r="G91" s="95" t="str">
        <f t="shared" si="1"/>
        <v/>
      </c>
      <c r="H91" s="91" t="str">
        <f>IF(E91&lt;&gt;"",E91/'Project Summary'!$C$9,"")</f>
        <v/>
      </c>
      <c r="I91" s="97" t="str">
        <f>IF(F91&lt;&gt;"",F91/'Project Summary'!$C$10, "")</f>
        <v/>
      </c>
      <c r="J91" s="68"/>
      <c r="K91" s="69"/>
      <c r="L91" s="102"/>
      <c r="M91" s="102"/>
      <c r="N91" s="68"/>
      <c r="O91" s="68"/>
      <c r="P91" s="106"/>
      <c r="Q91" s="107"/>
      <c r="R91" s="107"/>
      <c r="S91" s="107"/>
      <c r="T91" s="107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</row>
    <row r="92" spans="2:36" x14ac:dyDescent="0.25">
      <c r="B92" s="68"/>
      <c r="C92" s="68"/>
      <c r="D92" s="70"/>
      <c r="E92" s="68"/>
      <c r="F92" s="96"/>
      <c r="G92" s="95" t="str">
        <f t="shared" si="1"/>
        <v/>
      </c>
      <c r="H92" s="91" t="str">
        <f>IF(E92&lt;&gt;"",E92/'Project Summary'!$C$9,"")</f>
        <v/>
      </c>
      <c r="I92" s="97" t="str">
        <f>IF(F92&lt;&gt;"",F92/'Project Summary'!$C$10, "")</f>
        <v/>
      </c>
      <c r="J92" s="68"/>
      <c r="K92" s="69"/>
      <c r="L92" s="102"/>
      <c r="M92" s="102"/>
      <c r="N92" s="68"/>
      <c r="O92" s="68"/>
      <c r="P92" s="106"/>
      <c r="Q92" s="107"/>
      <c r="R92" s="107"/>
      <c r="S92" s="107"/>
      <c r="T92" s="107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</row>
    <row r="93" spans="2:36" x14ac:dyDescent="0.25">
      <c r="B93" s="68"/>
      <c r="C93" s="68"/>
      <c r="D93" s="70"/>
      <c r="E93" s="68"/>
      <c r="F93" s="96"/>
      <c r="G93" s="95" t="str">
        <f t="shared" si="1"/>
        <v/>
      </c>
      <c r="H93" s="91" t="str">
        <f>IF(E93&lt;&gt;"",E93/'Project Summary'!$C$9,"")</f>
        <v/>
      </c>
      <c r="I93" s="97" t="str">
        <f>IF(F93&lt;&gt;"",F93/'Project Summary'!$C$10, "")</f>
        <v/>
      </c>
      <c r="J93" s="68"/>
      <c r="K93" s="69"/>
      <c r="L93" s="102"/>
      <c r="M93" s="102"/>
      <c r="N93" s="68"/>
      <c r="O93" s="68"/>
      <c r="P93" s="106"/>
      <c r="Q93" s="107"/>
      <c r="R93" s="107"/>
      <c r="S93" s="107"/>
      <c r="T93" s="107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</row>
    <row r="94" spans="2:36" x14ac:dyDescent="0.25">
      <c r="B94" s="68"/>
      <c r="C94" s="68"/>
      <c r="D94" s="70"/>
      <c r="E94" s="68"/>
      <c r="F94" s="96"/>
      <c r="G94" s="95" t="str">
        <f t="shared" si="1"/>
        <v/>
      </c>
      <c r="H94" s="91" t="str">
        <f>IF(E94&lt;&gt;"",E94/'Project Summary'!$C$9,"")</f>
        <v/>
      </c>
      <c r="I94" s="97" t="str">
        <f>IF(F94&lt;&gt;"",F94/'Project Summary'!$C$10, "")</f>
        <v/>
      </c>
      <c r="J94" s="68"/>
      <c r="K94" s="69"/>
      <c r="L94" s="102"/>
      <c r="M94" s="102"/>
      <c r="N94" s="68"/>
      <c r="O94" s="68"/>
      <c r="P94" s="106"/>
      <c r="Q94" s="107"/>
      <c r="R94" s="107"/>
      <c r="S94" s="107"/>
      <c r="T94" s="107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</row>
    <row r="95" spans="2:36" x14ac:dyDescent="0.25">
      <c r="B95" s="68"/>
      <c r="C95" s="68"/>
      <c r="D95" s="70"/>
      <c r="E95" s="68"/>
      <c r="F95" s="96"/>
      <c r="G95" s="95" t="str">
        <f t="shared" si="1"/>
        <v/>
      </c>
      <c r="H95" s="91" t="str">
        <f>IF(E95&lt;&gt;"",E95/'Project Summary'!$C$9,"")</f>
        <v/>
      </c>
      <c r="I95" s="97" t="str">
        <f>IF(F95&lt;&gt;"",F95/'Project Summary'!$C$10, "")</f>
        <v/>
      </c>
      <c r="J95" s="68"/>
      <c r="K95" s="69"/>
      <c r="L95" s="102"/>
      <c r="M95" s="102"/>
      <c r="N95" s="68"/>
      <c r="O95" s="68"/>
      <c r="P95" s="106"/>
      <c r="Q95" s="107"/>
      <c r="R95" s="107"/>
      <c r="S95" s="107"/>
      <c r="T95" s="107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</row>
    <row r="96" spans="2:36" x14ac:dyDescent="0.25">
      <c r="B96" s="68"/>
      <c r="C96" s="68"/>
      <c r="D96" s="70"/>
      <c r="E96" s="68"/>
      <c r="F96" s="96"/>
      <c r="G96" s="95" t="str">
        <f t="shared" si="1"/>
        <v/>
      </c>
      <c r="H96" s="91" t="str">
        <f>IF(E96&lt;&gt;"",E96/'Project Summary'!$C$9,"")</f>
        <v/>
      </c>
      <c r="I96" s="97" t="str">
        <f>IF(F96&lt;&gt;"",F96/'Project Summary'!$C$10, "")</f>
        <v/>
      </c>
      <c r="J96" s="68"/>
      <c r="K96" s="69"/>
      <c r="L96" s="102"/>
      <c r="M96" s="102"/>
      <c r="N96" s="68"/>
      <c r="O96" s="68"/>
      <c r="P96" s="106"/>
      <c r="Q96" s="107"/>
      <c r="R96" s="107"/>
      <c r="S96" s="107"/>
      <c r="T96" s="107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</row>
    <row r="97" spans="2:36" x14ac:dyDescent="0.25">
      <c r="B97" s="68"/>
      <c r="C97" s="68"/>
      <c r="D97" s="70"/>
      <c r="E97" s="68"/>
      <c r="F97" s="96"/>
      <c r="G97" s="95" t="str">
        <f t="shared" si="1"/>
        <v/>
      </c>
      <c r="H97" s="91" t="str">
        <f>IF(E97&lt;&gt;"",E97/'Project Summary'!$C$9,"")</f>
        <v/>
      </c>
      <c r="I97" s="97" t="str">
        <f>IF(F97&lt;&gt;"",F97/'Project Summary'!$C$10, "")</f>
        <v/>
      </c>
      <c r="J97" s="68"/>
      <c r="K97" s="69"/>
      <c r="L97" s="102"/>
      <c r="M97" s="102"/>
      <c r="N97" s="68"/>
      <c r="O97" s="68"/>
      <c r="P97" s="106"/>
      <c r="Q97" s="107"/>
      <c r="R97" s="107"/>
      <c r="S97" s="107"/>
      <c r="T97" s="107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</row>
    <row r="98" spans="2:36" x14ac:dyDescent="0.25">
      <c r="B98" s="68"/>
      <c r="C98" s="68"/>
      <c r="D98" s="70"/>
      <c r="E98" s="68"/>
      <c r="F98" s="96"/>
      <c r="G98" s="95" t="str">
        <f t="shared" si="1"/>
        <v/>
      </c>
      <c r="H98" s="91" t="str">
        <f>IF(E98&lt;&gt;"",E98/'Project Summary'!$C$9,"")</f>
        <v/>
      </c>
      <c r="I98" s="97" t="str">
        <f>IF(F98&lt;&gt;"",F98/'Project Summary'!$C$10, "")</f>
        <v/>
      </c>
      <c r="J98" s="68"/>
      <c r="K98" s="69"/>
      <c r="L98" s="102"/>
      <c r="M98" s="102"/>
      <c r="N98" s="68"/>
      <c r="O98" s="68"/>
      <c r="P98" s="106"/>
      <c r="Q98" s="107"/>
      <c r="R98" s="107"/>
      <c r="S98" s="107"/>
      <c r="T98" s="107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</row>
    <row r="99" spans="2:36" x14ac:dyDescent="0.25">
      <c r="B99" s="68"/>
      <c r="C99" s="68"/>
      <c r="D99" s="70"/>
      <c r="E99" s="68"/>
      <c r="F99" s="96"/>
      <c r="G99" s="95" t="str">
        <f t="shared" si="1"/>
        <v/>
      </c>
      <c r="H99" s="91" t="str">
        <f>IF(E99&lt;&gt;"",E99/'Project Summary'!$C$9,"")</f>
        <v/>
      </c>
      <c r="I99" s="97" t="str">
        <f>IF(F99&lt;&gt;"",F99/'Project Summary'!$C$10, "")</f>
        <v/>
      </c>
      <c r="J99" s="68"/>
      <c r="K99" s="69"/>
      <c r="L99" s="102"/>
      <c r="M99" s="102"/>
      <c r="N99" s="68"/>
      <c r="O99" s="68"/>
      <c r="P99" s="106"/>
      <c r="Q99" s="107"/>
      <c r="R99" s="107"/>
      <c r="S99" s="107"/>
      <c r="T99" s="107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</row>
    <row r="100" spans="2:36" x14ac:dyDescent="0.25">
      <c r="B100" s="68"/>
      <c r="C100" s="68"/>
      <c r="D100" s="70"/>
      <c r="E100" s="68"/>
      <c r="F100" s="96"/>
      <c r="G100" s="95" t="str">
        <f t="shared" si="1"/>
        <v/>
      </c>
      <c r="H100" s="91" t="str">
        <f>IF(E100&lt;&gt;"",E100/'Project Summary'!$C$9,"")</f>
        <v/>
      </c>
      <c r="I100" s="97" t="str">
        <f>IF(F100&lt;&gt;"",F100/'Project Summary'!$C$10, "")</f>
        <v/>
      </c>
      <c r="J100" s="68"/>
      <c r="K100" s="69"/>
      <c r="L100" s="102"/>
      <c r="M100" s="102"/>
      <c r="N100" s="68"/>
      <c r="O100" s="68"/>
      <c r="P100" s="106"/>
      <c r="Q100" s="107"/>
      <c r="R100" s="107"/>
      <c r="S100" s="107"/>
      <c r="T100" s="107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</row>
    <row r="101" spans="2:36" x14ac:dyDescent="0.25">
      <c r="B101" s="68"/>
      <c r="C101" s="68"/>
      <c r="D101" s="70"/>
      <c r="E101" s="68"/>
      <c r="F101" s="96"/>
      <c r="G101" s="95" t="str">
        <f t="shared" si="1"/>
        <v/>
      </c>
      <c r="H101" s="91" t="str">
        <f>IF(E101&lt;&gt;"",E101/'Project Summary'!$C$9,"")</f>
        <v/>
      </c>
      <c r="I101" s="97" t="str">
        <f>IF(F101&lt;&gt;"",F101/'Project Summary'!$C$10, "")</f>
        <v/>
      </c>
      <c r="J101" s="68"/>
      <c r="K101" s="69"/>
      <c r="L101" s="102"/>
      <c r="M101" s="102"/>
      <c r="N101" s="68"/>
      <c r="O101" s="68"/>
      <c r="P101" s="106"/>
      <c r="Q101" s="107"/>
      <c r="R101" s="107"/>
      <c r="S101" s="107"/>
      <c r="T101" s="107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</row>
    <row r="102" spans="2:36" x14ac:dyDescent="0.25">
      <c r="B102" s="68"/>
      <c r="C102" s="68"/>
      <c r="D102" s="70"/>
      <c r="E102" s="68"/>
      <c r="F102" s="96"/>
      <c r="G102" s="95" t="str">
        <f t="shared" si="1"/>
        <v/>
      </c>
      <c r="H102" s="91" t="str">
        <f>IF(E102&lt;&gt;"",E102/'Project Summary'!$C$9,"")</f>
        <v/>
      </c>
      <c r="I102" s="97" t="str">
        <f>IF(F102&lt;&gt;"",F102/'Project Summary'!$C$10, "")</f>
        <v/>
      </c>
      <c r="J102" s="68"/>
      <c r="K102" s="69"/>
      <c r="L102" s="102"/>
      <c r="M102" s="102"/>
      <c r="N102" s="68"/>
      <c r="O102" s="68"/>
      <c r="P102" s="106"/>
      <c r="Q102" s="107"/>
      <c r="R102" s="107"/>
      <c r="S102" s="107"/>
      <c r="T102" s="107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</row>
    <row r="103" spans="2:36" x14ac:dyDescent="0.25">
      <c r="B103" s="68"/>
      <c r="C103" s="68"/>
      <c r="D103" s="70"/>
      <c r="E103" s="68"/>
      <c r="F103" s="96"/>
      <c r="G103" s="95" t="str">
        <f t="shared" si="1"/>
        <v/>
      </c>
      <c r="H103" s="91" t="str">
        <f>IF(E103&lt;&gt;"",E103/'Project Summary'!$C$9,"")</f>
        <v/>
      </c>
      <c r="I103" s="97" t="str">
        <f>IF(F103&lt;&gt;"",F103/'Project Summary'!$C$10, "")</f>
        <v/>
      </c>
      <c r="J103" s="68"/>
      <c r="K103" s="69"/>
      <c r="L103" s="102"/>
      <c r="M103" s="102"/>
      <c r="N103" s="68"/>
      <c r="O103" s="68"/>
      <c r="P103" s="106"/>
      <c r="Q103" s="107"/>
      <c r="R103" s="107"/>
      <c r="S103" s="107"/>
      <c r="T103" s="107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</row>
    <row r="104" spans="2:36" x14ac:dyDescent="0.25">
      <c r="B104" s="68"/>
      <c r="C104" s="68"/>
      <c r="D104" s="70"/>
      <c r="E104" s="68"/>
      <c r="F104" s="96"/>
      <c r="G104" s="95" t="str">
        <f t="shared" si="1"/>
        <v/>
      </c>
      <c r="H104" s="91" t="str">
        <f>IF(E104&lt;&gt;"",E104/'Project Summary'!$C$9,"")</f>
        <v/>
      </c>
      <c r="I104" s="97" t="str">
        <f>IF(F104&lt;&gt;"",F104/'Project Summary'!$C$10, "")</f>
        <v/>
      </c>
      <c r="J104" s="68"/>
      <c r="K104" s="69"/>
      <c r="L104" s="102"/>
      <c r="M104" s="102"/>
      <c r="N104" s="68"/>
      <c r="O104" s="68"/>
      <c r="P104" s="106"/>
      <c r="Q104" s="107"/>
      <c r="R104" s="107"/>
      <c r="S104" s="107"/>
      <c r="T104" s="107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</row>
    <row r="105" spans="2:36" x14ac:dyDescent="0.25">
      <c r="B105" s="68"/>
      <c r="C105" s="68"/>
      <c r="D105" s="70"/>
      <c r="E105" s="68"/>
      <c r="F105" s="96"/>
      <c r="G105" s="95" t="str">
        <f t="shared" si="1"/>
        <v/>
      </c>
      <c r="H105" s="91" t="str">
        <f>IF(E105&lt;&gt;"",E105/'Project Summary'!$C$9,"")</f>
        <v/>
      </c>
      <c r="I105" s="97" t="str">
        <f>IF(F105&lt;&gt;"",F105/'Project Summary'!$C$10, "")</f>
        <v/>
      </c>
      <c r="J105" s="68"/>
      <c r="K105" s="69"/>
      <c r="L105" s="102"/>
      <c r="M105" s="102"/>
      <c r="N105" s="68"/>
      <c r="O105" s="68"/>
      <c r="P105" s="106"/>
      <c r="Q105" s="107"/>
      <c r="R105" s="107"/>
      <c r="S105" s="107"/>
      <c r="T105" s="107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</row>
    <row r="106" spans="2:36" x14ac:dyDescent="0.25">
      <c r="B106" s="68"/>
      <c r="C106" s="68"/>
      <c r="D106" s="70"/>
      <c r="E106" s="68"/>
      <c r="F106" s="96"/>
      <c r="G106" s="95" t="str">
        <f t="shared" si="1"/>
        <v/>
      </c>
      <c r="H106" s="91" t="str">
        <f>IF(E106&lt;&gt;"",E106/'Project Summary'!$C$9,"")</f>
        <v/>
      </c>
      <c r="I106" s="97" t="str">
        <f>IF(F106&lt;&gt;"",F106/'Project Summary'!$C$10, "")</f>
        <v/>
      </c>
      <c r="J106" s="68"/>
      <c r="K106" s="69"/>
      <c r="L106" s="102"/>
      <c r="M106" s="102"/>
      <c r="N106" s="68"/>
      <c r="O106" s="68"/>
      <c r="P106" s="106"/>
      <c r="Q106" s="107"/>
      <c r="R106" s="107"/>
      <c r="S106" s="107"/>
      <c r="T106" s="107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</row>
    <row r="107" spans="2:36" x14ac:dyDescent="0.25">
      <c r="B107" s="68"/>
      <c r="C107" s="68"/>
      <c r="D107" s="70"/>
      <c r="E107" s="68"/>
      <c r="F107" s="96"/>
      <c r="G107" s="95" t="str">
        <f t="shared" si="1"/>
        <v/>
      </c>
      <c r="H107" s="91" t="str">
        <f>IF(E107&lt;&gt;"",E107/'Project Summary'!$C$9,"")</f>
        <v/>
      </c>
      <c r="I107" s="97" t="str">
        <f>IF(F107&lt;&gt;"",F107/'Project Summary'!$C$10, "")</f>
        <v/>
      </c>
      <c r="J107" s="68"/>
      <c r="K107" s="69"/>
      <c r="L107" s="102"/>
      <c r="M107" s="102"/>
      <c r="N107" s="68"/>
      <c r="O107" s="68"/>
      <c r="P107" s="106"/>
      <c r="Q107" s="107"/>
      <c r="R107" s="107"/>
      <c r="S107" s="107"/>
      <c r="T107" s="107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</row>
    <row r="108" spans="2:36" x14ac:dyDescent="0.25">
      <c r="B108" s="68"/>
      <c r="C108" s="68"/>
      <c r="D108" s="70"/>
      <c r="E108" s="68"/>
      <c r="F108" s="96"/>
      <c r="G108" s="95" t="str">
        <f t="shared" si="1"/>
        <v/>
      </c>
      <c r="H108" s="91" t="str">
        <f>IF(E108&lt;&gt;"",E108/'Project Summary'!$C$9,"")</f>
        <v/>
      </c>
      <c r="I108" s="97" t="str">
        <f>IF(F108&lt;&gt;"",F108/'Project Summary'!$C$10, "")</f>
        <v/>
      </c>
      <c r="J108" s="68"/>
      <c r="K108" s="69"/>
      <c r="L108" s="102"/>
      <c r="M108" s="102"/>
      <c r="N108" s="68"/>
      <c r="O108" s="68"/>
      <c r="P108" s="106"/>
      <c r="Q108" s="107"/>
      <c r="R108" s="107"/>
      <c r="S108" s="107"/>
      <c r="T108" s="107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</row>
    <row r="109" spans="2:36" x14ac:dyDescent="0.25">
      <c r="B109" s="68"/>
      <c r="C109" s="68"/>
      <c r="D109" s="70"/>
      <c r="E109" s="68"/>
      <c r="F109" s="96"/>
      <c r="G109" s="95" t="str">
        <f t="shared" si="1"/>
        <v/>
      </c>
      <c r="H109" s="91" t="str">
        <f>IF(E109&lt;&gt;"",E109/'Project Summary'!$C$9,"")</f>
        <v/>
      </c>
      <c r="I109" s="97" t="str">
        <f>IF(F109&lt;&gt;"",F109/'Project Summary'!$C$10, "")</f>
        <v/>
      </c>
      <c r="J109" s="68"/>
      <c r="K109" s="69"/>
      <c r="L109" s="102"/>
      <c r="M109" s="102"/>
      <c r="N109" s="68"/>
      <c r="O109" s="68"/>
      <c r="P109" s="106"/>
      <c r="Q109" s="107"/>
      <c r="R109" s="107"/>
      <c r="S109" s="107"/>
      <c r="T109" s="107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</row>
    <row r="110" spans="2:36" x14ac:dyDescent="0.25">
      <c r="B110" s="68"/>
      <c r="C110" s="68"/>
      <c r="D110" s="70"/>
      <c r="E110" s="68"/>
      <c r="F110" s="96"/>
      <c r="G110" s="95" t="str">
        <f t="shared" si="1"/>
        <v/>
      </c>
      <c r="H110" s="91" t="str">
        <f>IF(E110&lt;&gt;"",E110/'Project Summary'!$C$9,"")</f>
        <v/>
      </c>
      <c r="I110" s="97" t="str">
        <f>IF(F110&lt;&gt;"",F110/'Project Summary'!$C$10, "")</f>
        <v/>
      </c>
      <c r="J110" s="68"/>
      <c r="K110" s="69"/>
      <c r="L110" s="102"/>
      <c r="M110" s="102"/>
      <c r="N110" s="68"/>
      <c r="O110" s="68"/>
      <c r="P110" s="106"/>
      <c r="Q110" s="107"/>
      <c r="R110" s="107"/>
      <c r="S110" s="107"/>
      <c r="T110" s="107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</row>
    <row r="111" spans="2:36" x14ac:dyDescent="0.25">
      <c r="B111" s="68"/>
      <c r="C111" s="68"/>
      <c r="D111" s="70"/>
      <c r="E111" s="68"/>
      <c r="F111" s="96"/>
      <c r="G111" s="95" t="str">
        <f t="shared" si="1"/>
        <v/>
      </c>
      <c r="H111" s="91" t="str">
        <f>IF(E111&lt;&gt;"",E111/'Project Summary'!$C$9,"")</f>
        <v/>
      </c>
      <c r="I111" s="97" t="str">
        <f>IF(F111&lt;&gt;"",F111/'Project Summary'!$C$10, "")</f>
        <v/>
      </c>
      <c r="J111" s="68"/>
      <c r="K111" s="69"/>
      <c r="L111" s="102"/>
      <c r="M111" s="102"/>
      <c r="N111" s="68"/>
      <c r="O111" s="68"/>
      <c r="P111" s="106"/>
      <c r="Q111" s="107"/>
      <c r="R111" s="107"/>
      <c r="S111" s="107"/>
      <c r="T111" s="107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</row>
    <row r="112" spans="2:36" x14ac:dyDescent="0.25">
      <c r="B112" s="68"/>
      <c r="C112" s="68"/>
      <c r="D112" s="70"/>
      <c r="E112" s="68"/>
      <c r="F112" s="96"/>
      <c r="G112" s="95" t="str">
        <f t="shared" si="1"/>
        <v/>
      </c>
      <c r="H112" s="91" t="str">
        <f>IF(E112&lt;&gt;"",E112/'Project Summary'!$C$9,"")</f>
        <v/>
      </c>
      <c r="I112" s="97" t="str">
        <f>IF(F112&lt;&gt;"",F112/'Project Summary'!$C$10, "")</f>
        <v/>
      </c>
      <c r="J112" s="68"/>
      <c r="K112" s="69"/>
      <c r="L112" s="102"/>
      <c r="M112" s="102"/>
      <c r="N112" s="68"/>
      <c r="O112" s="68"/>
      <c r="P112" s="106"/>
      <c r="Q112" s="107"/>
      <c r="R112" s="107"/>
      <c r="S112" s="107"/>
      <c r="T112" s="107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</row>
    <row r="113" spans="2:36" x14ac:dyDescent="0.25">
      <c r="B113" s="68"/>
      <c r="C113" s="68"/>
      <c r="D113" s="70"/>
      <c r="E113" s="68"/>
      <c r="F113" s="96"/>
      <c r="G113" s="95" t="str">
        <f t="shared" si="1"/>
        <v/>
      </c>
      <c r="H113" s="91" t="str">
        <f>IF(E113&lt;&gt;"",E113/'Project Summary'!$C$9,"")</f>
        <v/>
      </c>
      <c r="I113" s="97" t="str">
        <f>IF(F113&lt;&gt;"",F113/'Project Summary'!$C$10, "")</f>
        <v/>
      </c>
      <c r="J113" s="68"/>
      <c r="K113" s="69"/>
      <c r="L113" s="102"/>
      <c r="M113" s="102"/>
      <c r="N113" s="68"/>
      <c r="O113" s="68"/>
      <c r="P113" s="106"/>
      <c r="Q113" s="107"/>
      <c r="R113" s="107"/>
      <c r="S113" s="107"/>
      <c r="T113" s="107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</row>
    <row r="114" spans="2:36" x14ac:dyDescent="0.25">
      <c r="B114" s="68"/>
      <c r="C114" s="68"/>
      <c r="D114" s="70"/>
      <c r="E114" s="68"/>
      <c r="F114" s="96"/>
      <c r="G114" s="95" t="str">
        <f t="shared" si="1"/>
        <v/>
      </c>
      <c r="H114" s="91" t="str">
        <f>IF(E114&lt;&gt;"",E114/'Project Summary'!$C$9,"")</f>
        <v/>
      </c>
      <c r="I114" s="97" t="str">
        <f>IF(F114&lt;&gt;"",F114/'Project Summary'!$C$10, "")</f>
        <v/>
      </c>
      <c r="J114" s="68"/>
      <c r="K114" s="69"/>
      <c r="L114" s="102"/>
      <c r="M114" s="102"/>
      <c r="N114" s="68"/>
      <c r="O114" s="68"/>
      <c r="P114" s="106"/>
      <c r="Q114" s="107"/>
      <c r="R114" s="107"/>
      <c r="S114" s="107"/>
      <c r="T114" s="107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</row>
    <row r="115" spans="2:36" x14ac:dyDescent="0.25">
      <c r="B115" s="68"/>
      <c r="C115" s="68"/>
      <c r="D115" s="70"/>
      <c r="E115" s="68"/>
      <c r="F115" s="96"/>
      <c r="G115" s="95" t="str">
        <f t="shared" si="1"/>
        <v/>
      </c>
      <c r="H115" s="91" t="str">
        <f>IF(E115&lt;&gt;"",E115/'Project Summary'!$C$9,"")</f>
        <v/>
      </c>
      <c r="I115" s="97" t="str">
        <f>IF(F115&lt;&gt;"",F115/'Project Summary'!$C$10, "")</f>
        <v/>
      </c>
      <c r="J115" s="68"/>
      <c r="K115" s="69"/>
      <c r="L115" s="102"/>
      <c r="M115" s="102"/>
      <c r="N115" s="68"/>
      <c r="O115" s="68"/>
      <c r="P115" s="106"/>
      <c r="Q115" s="107"/>
      <c r="R115" s="107"/>
      <c r="S115" s="107"/>
      <c r="T115" s="107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</row>
    <row r="116" spans="2:36" x14ac:dyDescent="0.25">
      <c r="B116" s="68"/>
      <c r="C116" s="68"/>
      <c r="D116" s="70"/>
      <c r="E116" s="68"/>
      <c r="F116" s="96"/>
      <c r="G116" s="95" t="str">
        <f t="shared" si="1"/>
        <v/>
      </c>
      <c r="H116" s="91" t="str">
        <f>IF(E116&lt;&gt;"",E116/'Project Summary'!$C$9,"")</f>
        <v/>
      </c>
      <c r="I116" s="97" t="str">
        <f>IF(F116&lt;&gt;"",F116/'Project Summary'!$C$10, "")</f>
        <v/>
      </c>
      <c r="J116" s="68"/>
      <c r="K116" s="69"/>
      <c r="L116" s="102"/>
      <c r="M116" s="102"/>
      <c r="N116" s="68"/>
      <c r="O116" s="68"/>
      <c r="P116" s="106"/>
      <c r="Q116" s="107"/>
      <c r="R116" s="107"/>
      <c r="S116" s="107"/>
      <c r="T116" s="107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</row>
    <row r="117" spans="2:36" x14ac:dyDescent="0.25">
      <c r="B117" s="68"/>
      <c r="C117" s="68"/>
      <c r="D117" s="70"/>
      <c r="E117" s="68"/>
      <c r="F117" s="96"/>
      <c r="G117" s="95" t="str">
        <f t="shared" si="1"/>
        <v/>
      </c>
      <c r="H117" s="91" t="str">
        <f>IF(E117&lt;&gt;"",E117/'Project Summary'!$C$9,"")</f>
        <v/>
      </c>
      <c r="I117" s="97" t="str">
        <f>IF(F117&lt;&gt;"",F117/'Project Summary'!$C$10, "")</f>
        <v/>
      </c>
      <c r="J117" s="68"/>
      <c r="K117" s="69"/>
      <c r="L117" s="102"/>
      <c r="M117" s="102"/>
      <c r="N117" s="68"/>
      <c r="O117" s="68"/>
      <c r="P117" s="106"/>
      <c r="Q117" s="107"/>
      <c r="R117" s="107"/>
      <c r="S117" s="107"/>
      <c r="T117" s="107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</row>
    <row r="118" spans="2:36" x14ac:dyDescent="0.25">
      <c r="B118" s="68"/>
      <c r="C118" s="68"/>
      <c r="D118" s="70"/>
      <c r="E118" s="68"/>
      <c r="F118" s="96"/>
      <c r="G118" s="95" t="str">
        <f t="shared" si="1"/>
        <v/>
      </c>
      <c r="H118" s="91" t="str">
        <f>IF(E118&lt;&gt;"",E118/'Project Summary'!$C$9,"")</f>
        <v/>
      </c>
      <c r="I118" s="97" t="str">
        <f>IF(F118&lt;&gt;"",F118/'Project Summary'!$C$10, "")</f>
        <v/>
      </c>
      <c r="J118" s="68"/>
      <c r="K118" s="69"/>
      <c r="L118" s="102"/>
      <c r="M118" s="102"/>
      <c r="N118" s="68"/>
      <c r="O118" s="68"/>
      <c r="P118" s="106"/>
      <c r="Q118" s="107"/>
      <c r="R118" s="107"/>
      <c r="S118" s="107"/>
      <c r="T118" s="107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</row>
    <row r="119" spans="2:36" x14ac:dyDescent="0.25">
      <c r="B119" s="68"/>
      <c r="C119" s="68"/>
      <c r="D119" s="70"/>
      <c r="E119" s="68"/>
      <c r="F119" s="96"/>
      <c r="G119" s="95" t="str">
        <f t="shared" si="1"/>
        <v/>
      </c>
      <c r="H119" s="91" t="str">
        <f>IF(E119&lt;&gt;"",E119/'Project Summary'!$C$9,"")</f>
        <v/>
      </c>
      <c r="I119" s="97" t="str">
        <f>IF(F119&lt;&gt;"",F119/'Project Summary'!$C$10, "")</f>
        <v/>
      </c>
      <c r="J119" s="68"/>
      <c r="K119" s="69"/>
      <c r="L119" s="102"/>
      <c r="M119" s="102"/>
      <c r="N119" s="68"/>
      <c r="O119" s="68"/>
      <c r="P119" s="106"/>
      <c r="Q119" s="107"/>
      <c r="R119" s="107"/>
      <c r="S119" s="107"/>
      <c r="T119" s="107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</row>
    <row r="120" spans="2:36" x14ac:dyDescent="0.25">
      <c r="B120" s="68"/>
      <c r="C120" s="68"/>
      <c r="D120" s="70"/>
      <c r="E120" s="68"/>
      <c r="F120" s="96"/>
      <c r="G120" s="95" t="str">
        <f t="shared" si="1"/>
        <v/>
      </c>
      <c r="H120" s="91" t="str">
        <f>IF(E120&lt;&gt;"",E120/'Project Summary'!$C$9,"")</f>
        <v/>
      </c>
      <c r="I120" s="97" t="str">
        <f>IF(F120&lt;&gt;"",F120/'Project Summary'!$C$10, "")</f>
        <v/>
      </c>
      <c r="J120" s="68"/>
      <c r="K120" s="69"/>
      <c r="L120" s="102"/>
      <c r="M120" s="102"/>
      <c r="N120" s="68"/>
      <c r="O120" s="68"/>
      <c r="P120" s="106"/>
      <c r="Q120" s="107"/>
      <c r="R120" s="107"/>
      <c r="S120" s="107"/>
      <c r="T120" s="107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</row>
    <row r="121" spans="2:36" x14ac:dyDescent="0.25">
      <c r="B121" s="68"/>
      <c r="C121" s="68"/>
      <c r="D121" s="70"/>
      <c r="E121" s="68"/>
      <c r="F121" s="96"/>
      <c r="G121" s="95" t="str">
        <f t="shared" si="1"/>
        <v/>
      </c>
      <c r="H121" s="91" t="str">
        <f>IF(E121&lt;&gt;"",E121/'Project Summary'!$C$9,"")</f>
        <v/>
      </c>
      <c r="I121" s="97" t="str">
        <f>IF(F121&lt;&gt;"",F121/'Project Summary'!$C$10, "")</f>
        <v/>
      </c>
      <c r="J121" s="68"/>
      <c r="K121" s="69"/>
      <c r="L121" s="102"/>
      <c r="M121" s="102"/>
      <c r="N121" s="68"/>
      <c r="O121" s="68"/>
      <c r="P121" s="106"/>
      <c r="Q121" s="107"/>
      <c r="R121" s="107"/>
      <c r="S121" s="107"/>
      <c r="T121" s="107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</row>
    <row r="122" spans="2:36" x14ac:dyDescent="0.25">
      <c r="B122" s="68"/>
      <c r="C122" s="68"/>
      <c r="D122" s="70"/>
      <c r="E122" s="68"/>
      <c r="F122" s="96"/>
      <c r="G122" s="95" t="str">
        <f t="shared" si="1"/>
        <v/>
      </c>
      <c r="H122" s="91" t="str">
        <f>IF(E122&lt;&gt;"",E122/'Project Summary'!$C$9,"")</f>
        <v/>
      </c>
      <c r="I122" s="97" t="str">
        <f>IF(F122&lt;&gt;"",F122/'Project Summary'!$C$10, "")</f>
        <v/>
      </c>
      <c r="J122" s="68"/>
      <c r="K122" s="69"/>
      <c r="L122" s="102"/>
      <c r="M122" s="102"/>
      <c r="N122" s="68"/>
      <c r="O122" s="68"/>
      <c r="P122" s="106"/>
      <c r="Q122" s="107"/>
      <c r="R122" s="107"/>
      <c r="S122" s="107"/>
      <c r="T122" s="107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</row>
    <row r="123" spans="2:36" x14ac:dyDescent="0.25">
      <c r="B123" s="68"/>
      <c r="C123" s="68"/>
      <c r="D123" s="70"/>
      <c r="E123" s="68"/>
      <c r="F123" s="96"/>
      <c r="G123" s="95" t="str">
        <f t="shared" si="1"/>
        <v/>
      </c>
      <c r="H123" s="91" t="str">
        <f>IF(E123&lt;&gt;"",E123/'Project Summary'!$C$9,"")</f>
        <v/>
      </c>
      <c r="I123" s="97" t="str">
        <f>IF(F123&lt;&gt;"",F123/'Project Summary'!$C$10, "")</f>
        <v/>
      </c>
      <c r="J123" s="68"/>
      <c r="K123" s="69"/>
      <c r="L123" s="102"/>
      <c r="M123" s="102"/>
      <c r="N123" s="68"/>
      <c r="O123" s="68"/>
      <c r="P123" s="106"/>
      <c r="Q123" s="107"/>
      <c r="R123" s="107"/>
      <c r="S123" s="107"/>
      <c r="T123" s="107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</row>
    <row r="124" spans="2:36" x14ac:dyDescent="0.25">
      <c r="B124" s="68"/>
      <c r="C124" s="68"/>
      <c r="D124" s="70"/>
      <c r="E124" s="68"/>
      <c r="F124" s="96"/>
      <c r="G124" s="95" t="str">
        <f t="shared" si="1"/>
        <v/>
      </c>
      <c r="H124" s="91" t="str">
        <f>IF(E124&lt;&gt;"",E124/'Project Summary'!$C$9,"")</f>
        <v/>
      </c>
      <c r="I124" s="97" t="str">
        <f>IF(F124&lt;&gt;"",F124/'Project Summary'!$C$10, "")</f>
        <v/>
      </c>
      <c r="J124" s="68"/>
      <c r="K124" s="69"/>
      <c r="L124" s="102"/>
      <c r="M124" s="102"/>
      <c r="N124" s="68"/>
      <c r="O124" s="68"/>
      <c r="P124" s="106"/>
      <c r="Q124" s="107"/>
      <c r="R124" s="107"/>
      <c r="S124" s="107"/>
      <c r="T124" s="107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</row>
    <row r="125" spans="2:36" x14ac:dyDescent="0.25">
      <c r="B125" s="68"/>
      <c r="C125" s="68"/>
      <c r="D125" s="70"/>
      <c r="E125" s="68"/>
      <c r="F125" s="96"/>
      <c r="G125" s="95" t="str">
        <f t="shared" si="1"/>
        <v/>
      </c>
      <c r="H125" s="91" t="str">
        <f>IF(E125&lt;&gt;"",E125/'Project Summary'!$C$9,"")</f>
        <v/>
      </c>
      <c r="I125" s="97" t="str">
        <f>IF(F125&lt;&gt;"",F125/'Project Summary'!$C$10, "")</f>
        <v/>
      </c>
      <c r="J125" s="68"/>
      <c r="K125" s="69"/>
      <c r="L125" s="102"/>
      <c r="M125" s="102"/>
      <c r="N125" s="68"/>
      <c r="O125" s="68"/>
      <c r="P125" s="106"/>
      <c r="Q125" s="107"/>
      <c r="R125" s="107"/>
      <c r="S125" s="107"/>
      <c r="T125" s="107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</row>
    <row r="126" spans="2:36" x14ac:dyDescent="0.25">
      <c r="B126" s="68"/>
      <c r="C126" s="68"/>
      <c r="D126" s="70"/>
      <c r="E126" s="68"/>
      <c r="F126" s="96"/>
      <c r="G126" s="95" t="str">
        <f t="shared" si="1"/>
        <v/>
      </c>
      <c r="H126" s="91" t="str">
        <f>IF(E126&lt;&gt;"",E126/'Project Summary'!$C$9,"")</f>
        <v/>
      </c>
      <c r="I126" s="97" t="str">
        <f>IF(F126&lt;&gt;"",F126/'Project Summary'!$C$10, "")</f>
        <v/>
      </c>
      <c r="J126" s="68"/>
      <c r="K126" s="69"/>
      <c r="L126" s="102"/>
      <c r="M126" s="102"/>
      <c r="N126" s="68"/>
      <c r="O126" s="68"/>
      <c r="P126" s="106"/>
      <c r="Q126" s="107"/>
      <c r="R126" s="107"/>
      <c r="S126" s="107"/>
      <c r="T126" s="107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</row>
    <row r="127" spans="2:36" x14ac:dyDescent="0.25">
      <c r="B127" s="68"/>
      <c r="C127" s="68"/>
      <c r="D127" s="70"/>
      <c r="E127" s="68"/>
      <c r="F127" s="96"/>
      <c r="G127" s="95" t="str">
        <f t="shared" si="1"/>
        <v/>
      </c>
      <c r="H127" s="91" t="str">
        <f>IF(E127&lt;&gt;"",E127/'Project Summary'!$C$9,"")</f>
        <v/>
      </c>
      <c r="I127" s="97" t="str">
        <f>IF(F127&lt;&gt;"",F127/'Project Summary'!$C$10, "")</f>
        <v/>
      </c>
      <c r="J127" s="68"/>
      <c r="K127" s="69"/>
      <c r="L127" s="102"/>
      <c r="M127" s="102"/>
      <c r="N127" s="68"/>
      <c r="O127" s="68"/>
      <c r="P127" s="106"/>
      <c r="Q127" s="107"/>
      <c r="R127" s="107"/>
      <c r="S127" s="107"/>
      <c r="T127" s="107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</row>
    <row r="128" spans="2:36" x14ac:dyDescent="0.25">
      <c r="B128" s="68"/>
      <c r="C128" s="68"/>
      <c r="D128" s="70"/>
      <c r="E128" s="68"/>
      <c r="F128" s="96"/>
      <c r="G128" s="95" t="str">
        <f t="shared" si="1"/>
        <v/>
      </c>
      <c r="H128" s="91" t="str">
        <f>IF(E128&lt;&gt;"",E128/'Project Summary'!$C$9,"")</f>
        <v/>
      </c>
      <c r="I128" s="97" t="str">
        <f>IF(F128&lt;&gt;"",F128/'Project Summary'!$C$10, "")</f>
        <v/>
      </c>
      <c r="J128" s="68"/>
      <c r="K128" s="69"/>
      <c r="L128" s="102"/>
      <c r="M128" s="102"/>
      <c r="N128" s="68"/>
      <c r="O128" s="68"/>
      <c r="P128" s="106"/>
      <c r="Q128" s="107"/>
      <c r="R128" s="107"/>
      <c r="S128" s="107"/>
      <c r="T128" s="107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</row>
    <row r="129" spans="2:36" x14ac:dyDescent="0.25">
      <c r="B129" s="68"/>
      <c r="C129" s="68"/>
      <c r="D129" s="70"/>
      <c r="E129" s="68"/>
      <c r="F129" s="96"/>
      <c r="G129" s="95" t="str">
        <f t="shared" si="1"/>
        <v/>
      </c>
      <c r="H129" s="91" t="str">
        <f>IF(E129&lt;&gt;"",E129/'Project Summary'!$C$9,"")</f>
        <v/>
      </c>
      <c r="I129" s="97" t="str">
        <f>IF(F129&lt;&gt;"",F129/'Project Summary'!$C$10, "")</f>
        <v/>
      </c>
      <c r="J129" s="68"/>
      <c r="K129" s="69"/>
      <c r="L129" s="102"/>
      <c r="M129" s="102"/>
      <c r="N129" s="68"/>
      <c r="O129" s="68"/>
      <c r="P129" s="106"/>
      <c r="Q129" s="107"/>
      <c r="R129" s="107"/>
      <c r="S129" s="107"/>
      <c r="T129" s="107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</row>
    <row r="130" spans="2:36" x14ac:dyDescent="0.25">
      <c r="B130" s="68"/>
      <c r="C130" s="68"/>
      <c r="D130" s="70"/>
      <c r="E130" s="68"/>
      <c r="F130" s="96"/>
      <c r="G130" s="95" t="str">
        <f t="shared" si="1"/>
        <v/>
      </c>
      <c r="H130" s="91" t="str">
        <f>IF(E130&lt;&gt;"",E130/'Project Summary'!$C$9,"")</f>
        <v/>
      </c>
      <c r="I130" s="97" t="str">
        <f>IF(F130&lt;&gt;"",F130/'Project Summary'!$C$10, "")</f>
        <v/>
      </c>
      <c r="J130" s="68"/>
      <c r="K130" s="69"/>
      <c r="L130" s="102"/>
      <c r="M130" s="102"/>
      <c r="N130" s="68"/>
      <c r="O130" s="68"/>
      <c r="P130" s="106"/>
      <c r="Q130" s="107"/>
      <c r="R130" s="107"/>
      <c r="S130" s="107"/>
      <c r="T130" s="107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</row>
    <row r="131" spans="2:36" x14ac:dyDescent="0.25">
      <c r="B131" s="68"/>
      <c r="C131" s="68"/>
      <c r="D131" s="70"/>
      <c r="E131" s="68"/>
      <c r="F131" s="96"/>
      <c r="G131" s="95" t="str">
        <f t="shared" si="1"/>
        <v/>
      </c>
      <c r="H131" s="91" t="str">
        <f>IF(E131&lt;&gt;"",E131/'Project Summary'!$C$9,"")</f>
        <v/>
      </c>
      <c r="I131" s="97" t="str">
        <f>IF(F131&lt;&gt;"",F131/'Project Summary'!$C$10, "")</f>
        <v/>
      </c>
      <c r="J131" s="68"/>
      <c r="K131" s="69"/>
      <c r="L131" s="102"/>
      <c r="M131" s="102"/>
      <c r="N131" s="68"/>
      <c r="O131" s="68"/>
      <c r="P131" s="106"/>
      <c r="Q131" s="107"/>
      <c r="R131" s="107"/>
      <c r="S131" s="107"/>
      <c r="T131" s="107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</row>
    <row r="132" spans="2:36" x14ac:dyDescent="0.25">
      <c r="B132" s="68"/>
      <c r="C132" s="68"/>
      <c r="D132" s="70"/>
      <c r="E132" s="68"/>
      <c r="F132" s="96"/>
      <c r="G132" s="95" t="str">
        <f t="shared" si="1"/>
        <v/>
      </c>
      <c r="H132" s="91" t="str">
        <f>IF(E132&lt;&gt;"",E132/'Project Summary'!$C$9,"")</f>
        <v/>
      </c>
      <c r="I132" s="97" t="str">
        <f>IF(F132&lt;&gt;"",F132/'Project Summary'!$C$10, "")</f>
        <v/>
      </c>
      <c r="J132" s="68"/>
      <c r="K132" s="69"/>
      <c r="L132" s="102"/>
      <c r="M132" s="102"/>
      <c r="N132" s="68"/>
      <c r="O132" s="68"/>
      <c r="P132" s="106"/>
      <c r="Q132" s="107"/>
      <c r="R132" s="107"/>
      <c r="S132" s="107"/>
      <c r="T132" s="107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</row>
    <row r="133" spans="2:36" x14ac:dyDescent="0.25">
      <c r="B133" s="68"/>
      <c r="C133" s="68"/>
      <c r="D133" s="70"/>
      <c r="E133" s="68"/>
      <c r="F133" s="96"/>
      <c r="G133" s="95" t="str">
        <f t="shared" si="1"/>
        <v/>
      </c>
      <c r="H133" s="91" t="str">
        <f>IF(E133&lt;&gt;"",E133/'Project Summary'!$C$9,"")</f>
        <v/>
      </c>
      <c r="I133" s="97" t="str">
        <f>IF(F133&lt;&gt;"",F133/'Project Summary'!$C$10, "")</f>
        <v/>
      </c>
      <c r="J133" s="68"/>
      <c r="K133" s="69"/>
      <c r="L133" s="102"/>
      <c r="M133" s="102"/>
      <c r="N133" s="68"/>
      <c r="O133" s="68"/>
      <c r="P133" s="106"/>
      <c r="Q133" s="107"/>
      <c r="R133" s="107"/>
      <c r="S133" s="107"/>
      <c r="T133" s="107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</row>
    <row r="134" spans="2:36" x14ac:dyDescent="0.25">
      <c r="B134" s="68"/>
      <c r="C134" s="68"/>
      <c r="D134" s="70"/>
      <c r="E134" s="68"/>
      <c r="F134" s="96"/>
      <c r="G134" s="95" t="str">
        <f t="shared" si="1"/>
        <v/>
      </c>
      <c r="H134" s="91" t="str">
        <f>IF(E134&lt;&gt;"",E134/'Project Summary'!$C$9,"")</f>
        <v/>
      </c>
      <c r="I134" s="97" t="str">
        <f>IF(F134&lt;&gt;"",F134/'Project Summary'!$C$10, "")</f>
        <v/>
      </c>
      <c r="J134" s="68"/>
      <c r="K134" s="69"/>
      <c r="L134" s="102"/>
      <c r="M134" s="102"/>
      <c r="N134" s="68"/>
      <c r="O134" s="68"/>
      <c r="P134" s="106"/>
      <c r="Q134" s="107"/>
      <c r="R134" s="107"/>
      <c r="S134" s="107"/>
      <c r="T134" s="107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</row>
    <row r="135" spans="2:36" x14ac:dyDescent="0.25">
      <c r="B135" s="68"/>
      <c r="C135" s="68"/>
      <c r="D135" s="70"/>
      <c r="E135" s="68"/>
      <c r="F135" s="96"/>
      <c r="G135" s="95" t="str">
        <f t="shared" si="1"/>
        <v/>
      </c>
      <c r="H135" s="91" t="str">
        <f>IF(E135&lt;&gt;"",E135/'Project Summary'!$C$9,"")</f>
        <v/>
      </c>
      <c r="I135" s="97" t="str">
        <f>IF(F135&lt;&gt;"",F135/'Project Summary'!$C$10, "")</f>
        <v/>
      </c>
      <c r="J135" s="68"/>
      <c r="K135" s="69"/>
      <c r="L135" s="102"/>
      <c r="M135" s="102"/>
      <c r="N135" s="68"/>
      <c r="O135" s="68"/>
      <c r="P135" s="106"/>
      <c r="Q135" s="107"/>
      <c r="R135" s="107"/>
      <c r="S135" s="107"/>
      <c r="T135" s="107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</row>
    <row r="136" spans="2:36" x14ac:dyDescent="0.25">
      <c r="B136" s="68"/>
      <c r="C136" s="68"/>
      <c r="D136" s="70"/>
      <c r="E136" s="68"/>
      <c r="F136" s="96"/>
      <c r="G136" s="95" t="str">
        <f t="shared" si="1"/>
        <v/>
      </c>
      <c r="H136" s="91" t="str">
        <f>IF(E136&lt;&gt;"",E136/'Project Summary'!$C$9,"")</f>
        <v/>
      </c>
      <c r="I136" s="97" t="str">
        <f>IF(F136&lt;&gt;"",F136/'Project Summary'!$C$10, "")</f>
        <v/>
      </c>
      <c r="J136" s="68"/>
      <c r="K136" s="69"/>
      <c r="L136" s="102"/>
      <c r="M136" s="102"/>
      <c r="N136" s="68"/>
      <c r="O136" s="68"/>
      <c r="P136" s="106"/>
      <c r="Q136" s="107"/>
      <c r="R136" s="107"/>
      <c r="S136" s="107"/>
      <c r="T136" s="107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</row>
    <row r="137" spans="2:36" x14ac:dyDescent="0.25">
      <c r="B137" s="68"/>
      <c r="C137" s="68"/>
      <c r="D137" s="70"/>
      <c r="E137" s="68"/>
      <c r="F137" s="96"/>
      <c r="G137" s="95" t="str">
        <f t="shared" si="1"/>
        <v/>
      </c>
      <c r="H137" s="91" t="str">
        <f>IF(E137&lt;&gt;"",E137/'Project Summary'!$C$9,"")</f>
        <v/>
      </c>
      <c r="I137" s="97" t="str">
        <f>IF(F137&lt;&gt;"",F137/'Project Summary'!$C$10, "")</f>
        <v/>
      </c>
      <c r="J137" s="68"/>
      <c r="K137" s="69"/>
      <c r="L137" s="102"/>
      <c r="M137" s="102"/>
      <c r="N137" s="68"/>
      <c r="O137" s="68"/>
      <c r="P137" s="106"/>
      <c r="Q137" s="107"/>
      <c r="R137" s="107"/>
      <c r="S137" s="107"/>
      <c r="T137" s="107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</row>
    <row r="138" spans="2:36" x14ac:dyDescent="0.25">
      <c r="B138" s="68"/>
      <c r="C138" s="68"/>
      <c r="D138" s="70"/>
      <c r="E138" s="68"/>
      <c r="F138" s="96"/>
      <c r="G138" s="95" t="str">
        <f t="shared" si="1"/>
        <v/>
      </c>
      <c r="H138" s="91" t="str">
        <f>IF(E138&lt;&gt;"",E138/'Project Summary'!$C$9,"")</f>
        <v/>
      </c>
      <c r="I138" s="97" t="str">
        <f>IF(F138&lt;&gt;"",F138/'Project Summary'!$C$10, "")</f>
        <v/>
      </c>
      <c r="J138" s="68"/>
      <c r="K138" s="69"/>
      <c r="L138" s="102"/>
      <c r="M138" s="102"/>
      <c r="N138" s="68"/>
      <c r="O138" s="68"/>
      <c r="P138" s="106"/>
      <c r="Q138" s="107"/>
      <c r="R138" s="107"/>
      <c r="S138" s="107"/>
      <c r="T138" s="107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</row>
    <row r="139" spans="2:36" x14ac:dyDescent="0.25">
      <c r="B139" s="68"/>
      <c r="C139" s="68"/>
      <c r="D139" s="70"/>
      <c r="E139" s="68"/>
      <c r="F139" s="96"/>
      <c r="G139" s="95" t="str">
        <f t="shared" si="1"/>
        <v/>
      </c>
      <c r="H139" s="91" t="str">
        <f>IF(E139&lt;&gt;"",E139/'Project Summary'!$C$9,"")</f>
        <v/>
      </c>
      <c r="I139" s="97" t="str">
        <f>IF(F139&lt;&gt;"",F139/'Project Summary'!$C$10, "")</f>
        <v/>
      </c>
      <c r="J139" s="68"/>
      <c r="K139" s="69"/>
      <c r="L139" s="102"/>
      <c r="M139" s="102"/>
      <c r="N139" s="68"/>
      <c r="O139" s="68"/>
      <c r="P139" s="106"/>
      <c r="Q139" s="107"/>
      <c r="R139" s="107"/>
      <c r="S139" s="107"/>
      <c r="T139" s="107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</row>
    <row r="140" spans="2:36" x14ac:dyDescent="0.25">
      <c r="B140" s="68"/>
      <c r="C140" s="68"/>
      <c r="D140" s="70"/>
      <c r="E140" s="68"/>
      <c r="F140" s="96"/>
      <c r="G140" s="95" t="str">
        <f t="shared" ref="G140:G203" si="2">IF(D140&lt;&gt;"", D140/E140, "")</f>
        <v/>
      </c>
      <c r="H140" s="91" t="str">
        <f>IF(E140&lt;&gt;"",E140/'Project Summary'!$C$9,"")</f>
        <v/>
      </c>
      <c r="I140" s="97" t="str">
        <f>IF(F140&lt;&gt;"",F140/'Project Summary'!$C$10, "")</f>
        <v/>
      </c>
      <c r="J140" s="68"/>
      <c r="K140" s="69"/>
      <c r="L140" s="102"/>
      <c r="M140" s="102"/>
      <c r="N140" s="68"/>
      <c r="O140" s="68"/>
      <c r="P140" s="106"/>
      <c r="Q140" s="107"/>
      <c r="R140" s="107"/>
      <c r="S140" s="107"/>
      <c r="T140" s="107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</row>
    <row r="141" spans="2:36" x14ac:dyDescent="0.25">
      <c r="B141" s="68"/>
      <c r="C141" s="68"/>
      <c r="D141" s="70"/>
      <c r="E141" s="68"/>
      <c r="F141" s="96"/>
      <c r="G141" s="95" t="str">
        <f t="shared" si="2"/>
        <v/>
      </c>
      <c r="H141" s="91" t="str">
        <f>IF(E141&lt;&gt;"",E141/'Project Summary'!$C$9,"")</f>
        <v/>
      </c>
      <c r="I141" s="97" t="str">
        <f>IF(F141&lt;&gt;"",F141/'Project Summary'!$C$10, "")</f>
        <v/>
      </c>
      <c r="J141" s="68"/>
      <c r="K141" s="69"/>
      <c r="L141" s="102"/>
      <c r="M141" s="102"/>
      <c r="N141" s="68"/>
      <c r="O141" s="68"/>
      <c r="P141" s="106"/>
      <c r="Q141" s="107"/>
      <c r="R141" s="107"/>
      <c r="S141" s="107"/>
      <c r="T141" s="107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</row>
    <row r="142" spans="2:36" x14ac:dyDescent="0.25">
      <c r="B142" s="68"/>
      <c r="C142" s="68"/>
      <c r="D142" s="70"/>
      <c r="E142" s="68"/>
      <c r="F142" s="96"/>
      <c r="G142" s="95" t="str">
        <f t="shared" si="2"/>
        <v/>
      </c>
      <c r="H142" s="91" t="str">
        <f>IF(E142&lt;&gt;"",E142/'Project Summary'!$C$9,"")</f>
        <v/>
      </c>
      <c r="I142" s="97" t="str">
        <f>IF(F142&lt;&gt;"",F142/'Project Summary'!$C$10, "")</f>
        <v/>
      </c>
      <c r="J142" s="68"/>
      <c r="K142" s="69"/>
      <c r="L142" s="102"/>
      <c r="M142" s="102"/>
      <c r="N142" s="68"/>
      <c r="O142" s="68"/>
      <c r="P142" s="106"/>
      <c r="Q142" s="107"/>
      <c r="R142" s="107"/>
      <c r="S142" s="107"/>
      <c r="T142" s="107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</row>
    <row r="143" spans="2:36" x14ac:dyDescent="0.25">
      <c r="B143" s="68"/>
      <c r="C143" s="68"/>
      <c r="D143" s="70"/>
      <c r="E143" s="68"/>
      <c r="F143" s="96"/>
      <c r="G143" s="95" t="str">
        <f t="shared" si="2"/>
        <v/>
      </c>
      <c r="H143" s="91" t="str">
        <f>IF(E143&lt;&gt;"",E143/'Project Summary'!$C$9,"")</f>
        <v/>
      </c>
      <c r="I143" s="97" t="str">
        <f>IF(F143&lt;&gt;"",F143/'Project Summary'!$C$10, "")</f>
        <v/>
      </c>
      <c r="J143" s="68"/>
      <c r="K143" s="69"/>
      <c r="L143" s="102"/>
      <c r="M143" s="102"/>
      <c r="N143" s="68"/>
      <c r="O143" s="68"/>
      <c r="P143" s="106"/>
      <c r="Q143" s="107"/>
      <c r="R143" s="107"/>
      <c r="S143" s="107"/>
      <c r="T143" s="107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</row>
    <row r="144" spans="2:36" x14ac:dyDescent="0.25">
      <c r="B144" s="68"/>
      <c r="C144" s="68"/>
      <c r="D144" s="70"/>
      <c r="E144" s="68"/>
      <c r="F144" s="96"/>
      <c r="G144" s="95" t="str">
        <f t="shared" si="2"/>
        <v/>
      </c>
      <c r="H144" s="91" t="str">
        <f>IF(E144&lt;&gt;"",E144/'Project Summary'!$C$9,"")</f>
        <v/>
      </c>
      <c r="I144" s="97" t="str">
        <f>IF(F144&lt;&gt;"",F144/'Project Summary'!$C$10, "")</f>
        <v/>
      </c>
      <c r="J144" s="68"/>
      <c r="K144" s="69"/>
      <c r="L144" s="102"/>
      <c r="M144" s="102"/>
      <c r="N144" s="68"/>
      <c r="O144" s="68"/>
      <c r="P144" s="106"/>
      <c r="Q144" s="107"/>
      <c r="R144" s="107"/>
      <c r="S144" s="107"/>
      <c r="T144" s="107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</row>
    <row r="145" spans="2:36" x14ac:dyDescent="0.25">
      <c r="B145" s="68"/>
      <c r="C145" s="68"/>
      <c r="D145" s="70"/>
      <c r="E145" s="68"/>
      <c r="F145" s="96"/>
      <c r="G145" s="95" t="str">
        <f t="shared" si="2"/>
        <v/>
      </c>
      <c r="H145" s="91" t="str">
        <f>IF(E145&lt;&gt;"",E145/'Project Summary'!$C$9,"")</f>
        <v/>
      </c>
      <c r="I145" s="97" t="str">
        <f>IF(F145&lt;&gt;"",F145/'Project Summary'!$C$10, "")</f>
        <v/>
      </c>
      <c r="J145" s="68"/>
      <c r="K145" s="69"/>
      <c r="L145" s="102"/>
      <c r="M145" s="102"/>
      <c r="N145" s="68"/>
      <c r="O145" s="68"/>
      <c r="P145" s="106"/>
      <c r="Q145" s="107"/>
      <c r="R145" s="107"/>
      <c r="S145" s="107"/>
      <c r="T145" s="107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</row>
    <row r="146" spans="2:36" x14ac:dyDescent="0.25">
      <c r="B146" s="68"/>
      <c r="C146" s="68"/>
      <c r="D146" s="70"/>
      <c r="E146" s="68"/>
      <c r="F146" s="96"/>
      <c r="G146" s="95" t="str">
        <f t="shared" si="2"/>
        <v/>
      </c>
      <c r="H146" s="91" t="str">
        <f>IF(E146&lt;&gt;"",E146/'Project Summary'!$C$9,"")</f>
        <v/>
      </c>
      <c r="I146" s="97" t="str">
        <f>IF(F146&lt;&gt;"",F146/'Project Summary'!$C$10, "")</f>
        <v/>
      </c>
      <c r="J146" s="68"/>
      <c r="K146" s="69"/>
      <c r="L146" s="102"/>
      <c r="M146" s="102"/>
      <c r="N146" s="68"/>
      <c r="O146" s="68"/>
      <c r="P146" s="106"/>
      <c r="Q146" s="107"/>
      <c r="R146" s="107"/>
      <c r="S146" s="107"/>
      <c r="T146" s="107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</row>
    <row r="147" spans="2:36" x14ac:dyDescent="0.25">
      <c r="B147" s="68"/>
      <c r="C147" s="68"/>
      <c r="D147" s="70"/>
      <c r="E147" s="68"/>
      <c r="F147" s="96"/>
      <c r="G147" s="95" t="str">
        <f t="shared" si="2"/>
        <v/>
      </c>
      <c r="H147" s="91" t="str">
        <f>IF(E147&lt;&gt;"",E147/'Project Summary'!$C$9,"")</f>
        <v/>
      </c>
      <c r="I147" s="97" t="str">
        <f>IF(F147&lt;&gt;"",F147/'Project Summary'!$C$10, "")</f>
        <v/>
      </c>
      <c r="J147" s="68"/>
      <c r="K147" s="69"/>
      <c r="L147" s="102"/>
      <c r="M147" s="102"/>
      <c r="N147" s="68"/>
      <c r="O147" s="68"/>
      <c r="P147" s="106"/>
      <c r="Q147" s="107"/>
      <c r="R147" s="107"/>
      <c r="S147" s="107"/>
      <c r="T147" s="107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</row>
    <row r="148" spans="2:36" x14ac:dyDescent="0.25">
      <c r="B148" s="68"/>
      <c r="C148" s="68"/>
      <c r="D148" s="70"/>
      <c r="E148" s="68"/>
      <c r="F148" s="96"/>
      <c r="G148" s="95" t="str">
        <f t="shared" si="2"/>
        <v/>
      </c>
      <c r="H148" s="91" t="str">
        <f>IF(E148&lt;&gt;"",E148/'Project Summary'!$C$9,"")</f>
        <v/>
      </c>
      <c r="I148" s="97" t="str">
        <f>IF(F148&lt;&gt;"",F148/'Project Summary'!$C$10, "")</f>
        <v/>
      </c>
      <c r="J148" s="68"/>
      <c r="K148" s="69"/>
      <c r="L148" s="102"/>
      <c r="M148" s="102"/>
      <c r="N148" s="68"/>
      <c r="O148" s="68"/>
      <c r="P148" s="106"/>
      <c r="Q148" s="107"/>
      <c r="R148" s="107"/>
      <c r="S148" s="107"/>
      <c r="T148" s="107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</row>
    <row r="149" spans="2:36" x14ac:dyDescent="0.25">
      <c r="B149" s="68"/>
      <c r="C149" s="68"/>
      <c r="D149" s="70"/>
      <c r="E149" s="68"/>
      <c r="F149" s="96"/>
      <c r="G149" s="95" t="str">
        <f t="shared" si="2"/>
        <v/>
      </c>
      <c r="H149" s="91" t="str">
        <f>IF(E149&lt;&gt;"",E149/'Project Summary'!$C$9,"")</f>
        <v/>
      </c>
      <c r="I149" s="97" t="str">
        <f>IF(F149&lt;&gt;"",F149/'Project Summary'!$C$10, "")</f>
        <v/>
      </c>
      <c r="J149" s="68"/>
      <c r="K149" s="69"/>
      <c r="L149" s="102"/>
      <c r="M149" s="102"/>
      <c r="N149" s="68"/>
      <c r="O149" s="68"/>
      <c r="P149" s="106"/>
      <c r="Q149" s="107"/>
      <c r="R149" s="107"/>
      <c r="S149" s="107"/>
      <c r="T149" s="107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</row>
    <row r="150" spans="2:36" x14ac:dyDescent="0.25">
      <c r="B150" s="68"/>
      <c r="C150" s="68"/>
      <c r="D150" s="70"/>
      <c r="E150" s="68"/>
      <c r="F150" s="96"/>
      <c r="G150" s="95" t="str">
        <f t="shared" si="2"/>
        <v/>
      </c>
      <c r="H150" s="91" t="str">
        <f>IF(E150&lt;&gt;"",E150/'Project Summary'!$C$9,"")</f>
        <v/>
      </c>
      <c r="I150" s="97" t="str">
        <f>IF(F150&lt;&gt;"",F150/'Project Summary'!$C$10, "")</f>
        <v/>
      </c>
      <c r="J150" s="68"/>
      <c r="K150" s="69"/>
      <c r="L150" s="102"/>
      <c r="M150" s="102"/>
      <c r="N150" s="68"/>
      <c r="O150" s="68"/>
      <c r="P150" s="106"/>
      <c r="Q150" s="107"/>
      <c r="R150" s="107"/>
      <c r="S150" s="107"/>
      <c r="T150" s="107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</row>
    <row r="151" spans="2:36" x14ac:dyDescent="0.25">
      <c r="B151" s="68"/>
      <c r="C151" s="68"/>
      <c r="D151" s="70"/>
      <c r="E151" s="68"/>
      <c r="F151" s="96"/>
      <c r="G151" s="95" t="str">
        <f t="shared" si="2"/>
        <v/>
      </c>
      <c r="H151" s="91" t="str">
        <f>IF(E151&lt;&gt;"",E151/'Project Summary'!$C$9,"")</f>
        <v/>
      </c>
      <c r="I151" s="97" t="str">
        <f>IF(F151&lt;&gt;"",F151/'Project Summary'!$C$10, "")</f>
        <v/>
      </c>
      <c r="J151" s="68"/>
      <c r="K151" s="69"/>
      <c r="L151" s="102"/>
      <c r="M151" s="102"/>
      <c r="N151" s="68"/>
      <c r="O151" s="68"/>
      <c r="P151" s="106"/>
      <c r="Q151" s="107"/>
      <c r="R151" s="107"/>
      <c r="S151" s="107"/>
      <c r="T151" s="107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</row>
    <row r="152" spans="2:36" x14ac:dyDescent="0.25">
      <c r="B152" s="68"/>
      <c r="C152" s="68"/>
      <c r="D152" s="70"/>
      <c r="E152" s="68"/>
      <c r="F152" s="96"/>
      <c r="G152" s="95" t="str">
        <f t="shared" si="2"/>
        <v/>
      </c>
      <c r="H152" s="91" t="str">
        <f>IF(E152&lt;&gt;"",E152/'Project Summary'!$C$9,"")</f>
        <v/>
      </c>
      <c r="I152" s="97" t="str">
        <f>IF(F152&lt;&gt;"",F152/'Project Summary'!$C$10, "")</f>
        <v/>
      </c>
      <c r="J152" s="68"/>
      <c r="K152" s="69"/>
      <c r="L152" s="102"/>
      <c r="M152" s="102"/>
      <c r="N152" s="68"/>
      <c r="O152" s="68"/>
      <c r="P152" s="106"/>
      <c r="Q152" s="107"/>
      <c r="R152" s="107"/>
      <c r="S152" s="107"/>
      <c r="T152" s="107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</row>
    <row r="153" spans="2:36" x14ac:dyDescent="0.25">
      <c r="B153" s="68"/>
      <c r="C153" s="68"/>
      <c r="D153" s="70"/>
      <c r="E153" s="68"/>
      <c r="F153" s="96"/>
      <c r="G153" s="95" t="str">
        <f t="shared" si="2"/>
        <v/>
      </c>
      <c r="H153" s="91" t="str">
        <f>IF(E153&lt;&gt;"",E153/'Project Summary'!$C$9,"")</f>
        <v/>
      </c>
      <c r="I153" s="97" t="str">
        <f>IF(F153&lt;&gt;"",F153/'Project Summary'!$C$10, "")</f>
        <v/>
      </c>
      <c r="J153" s="68"/>
      <c r="K153" s="69"/>
      <c r="L153" s="102"/>
      <c r="M153" s="102"/>
      <c r="N153" s="68"/>
      <c r="O153" s="68"/>
      <c r="P153" s="106"/>
      <c r="Q153" s="107"/>
      <c r="R153" s="107"/>
      <c r="S153" s="107"/>
      <c r="T153" s="107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</row>
    <row r="154" spans="2:36" x14ac:dyDescent="0.25">
      <c r="B154" s="68"/>
      <c r="C154" s="68"/>
      <c r="D154" s="70"/>
      <c r="E154" s="68"/>
      <c r="F154" s="96"/>
      <c r="G154" s="95" t="str">
        <f t="shared" si="2"/>
        <v/>
      </c>
      <c r="H154" s="91" t="str">
        <f>IF(E154&lt;&gt;"",E154/'Project Summary'!$C$9,"")</f>
        <v/>
      </c>
      <c r="I154" s="97" t="str">
        <f>IF(F154&lt;&gt;"",F154/'Project Summary'!$C$10, "")</f>
        <v/>
      </c>
      <c r="J154" s="68"/>
      <c r="K154" s="69"/>
      <c r="L154" s="102"/>
      <c r="M154" s="102"/>
      <c r="N154" s="68"/>
      <c r="O154" s="68"/>
      <c r="P154" s="106"/>
      <c r="Q154" s="107"/>
      <c r="R154" s="107"/>
      <c r="S154" s="107"/>
      <c r="T154" s="107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</row>
    <row r="155" spans="2:36" x14ac:dyDescent="0.25">
      <c r="B155" s="68"/>
      <c r="C155" s="68"/>
      <c r="D155" s="70"/>
      <c r="E155" s="68"/>
      <c r="F155" s="96"/>
      <c r="G155" s="95" t="str">
        <f t="shared" si="2"/>
        <v/>
      </c>
      <c r="H155" s="91" t="str">
        <f>IF(E155&lt;&gt;"",E155/'Project Summary'!$C$9,"")</f>
        <v/>
      </c>
      <c r="I155" s="97" t="str">
        <f>IF(F155&lt;&gt;"",F155/'Project Summary'!$C$10, "")</f>
        <v/>
      </c>
      <c r="J155" s="68"/>
      <c r="K155" s="69"/>
      <c r="L155" s="102"/>
      <c r="M155" s="102"/>
      <c r="N155" s="68"/>
      <c r="O155" s="68"/>
      <c r="P155" s="106"/>
      <c r="Q155" s="107"/>
      <c r="R155" s="107"/>
      <c r="S155" s="107"/>
      <c r="T155" s="107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</row>
    <row r="156" spans="2:36" x14ac:dyDescent="0.25">
      <c r="B156" s="68"/>
      <c r="C156" s="68"/>
      <c r="D156" s="70"/>
      <c r="E156" s="68"/>
      <c r="F156" s="96"/>
      <c r="G156" s="95" t="str">
        <f t="shared" si="2"/>
        <v/>
      </c>
      <c r="H156" s="91" t="str">
        <f>IF(E156&lt;&gt;"",E156/'Project Summary'!$C$9,"")</f>
        <v/>
      </c>
      <c r="I156" s="97" t="str">
        <f>IF(F156&lt;&gt;"",F156/'Project Summary'!$C$10, "")</f>
        <v/>
      </c>
      <c r="J156" s="68"/>
      <c r="K156" s="69"/>
      <c r="L156" s="102"/>
      <c r="M156" s="102"/>
      <c r="N156" s="68"/>
      <c r="O156" s="68"/>
      <c r="P156" s="106"/>
      <c r="Q156" s="107"/>
      <c r="R156" s="107"/>
      <c r="S156" s="107"/>
      <c r="T156" s="107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</row>
    <row r="157" spans="2:36" x14ac:dyDescent="0.25">
      <c r="B157" s="68"/>
      <c r="C157" s="68"/>
      <c r="D157" s="70"/>
      <c r="E157" s="68"/>
      <c r="F157" s="96"/>
      <c r="G157" s="95" t="str">
        <f t="shared" si="2"/>
        <v/>
      </c>
      <c r="H157" s="91" t="str">
        <f>IF(E157&lt;&gt;"",E157/'Project Summary'!$C$9,"")</f>
        <v/>
      </c>
      <c r="I157" s="97" t="str">
        <f>IF(F157&lt;&gt;"",F157/'Project Summary'!$C$10, "")</f>
        <v/>
      </c>
      <c r="J157" s="68"/>
      <c r="K157" s="69"/>
      <c r="L157" s="102"/>
      <c r="M157" s="102"/>
      <c r="N157" s="68"/>
      <c r="O157" s="68"/>
      <c r="P157" s="106"/>
      <c r="Q157" s="107"/>
      <c r="R157" s="107"/>
      <c r="S157" s="107"/>
      <c r="T157" s="107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</row>
    <row r="158" spans="2:36" x14ac:dyDescent="0.25">
      <c r="B158" s="68"/>
      <c r="C158" s="68"/>
      <c r="D158" s="70"/>
      <c r="E158" s="68"/>
      <c r="F158" s="96"/>
      <c r="G158" s="95" t="str">
        <f t="shared" si="2"/>
        <v/>
      </c>
      <c r="H158" s="91" t="str">
        <f>IF(E158&lt;&gt;"",E158/'Project Summary'!$C$9,"")</f>
        <v/>
      </c>
      <c r="I158" s="97" t="str">
        <f>IF(F158&lt;&gt;"",F158/'Project Summary'!$C$10, "")</f>
        <v/>
      </c>
      <c r="J158" s="68"/>
      <c r="K158" s="69"/>
      <c r="L158" s="102"/>
      <c r="M158" s="102"/>
      <c r="N158" s="68"/>
      <c r="O158" s="68"/>
      <c r="P158" s="106"/>
      <c r="Q158" s="107"/>
      <c r="R158" s="107"/>
      <c r="S158" s="107"/>
      <c r="T158" s="107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</row>
    <row r="159" spans="2:36" x14ac:dyDescent="0.25">
      <c r="B159" s="68"/>
      <c r="C159" s="68"/>
      <c r="D159" s="70"/>
      <c r="E159" s="68"/>
      <c r="F159" s="96"/>
      <c r="G159" s="95" t="str">
        <f t="shared" si="2"/>
        <v/>
      </c>
      <c r="H159" s="91" t="str">
        <f>IF(E159&lt;&gt;"",E159/'Project Summary'!$C$9,"")</f>
        <v/>
      </c>
      <c r="I159" s="97" t="str">
        <f>IF(F159&lt;&gt;"",F159/'Project Summary'!$C$10, "")</f>
        <v/>
      </c>
      <c r="J159" s="68"/>
      <c r="K159" s="69"/>
      <c r="L159" s="102"/>
      <c r="M159" s="102"/>
      <c r="N159" s="68"/>
      <c r="O159" s="68"/>
      <c r="P159" s="106"/>
      <c r="Q159" s="107"/>
      <c r="R159" s="107"/>
      <c r="S159" s="107"/>
      <c r="T159" s="107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</row>
    <row r="160" spans="2:36" x14ac:dyDescent="0.25">
      <c r="B160" s="68"/>
      <c r="C160" s="68"/>
      <c r="D160" s="70"/>
      <c r="E160" s="68"/>
      <c r="F160" s="96"/>
      <c r="G160" s="95" t="str">
        <f t="shared" si="2"/>
        <v/>
      </c>
      <c r="H160" s="91" t="str">
        <f>IF(E160&lt;&gt;"",E160/'Project Summary'!$C$9,"")</f>
        <v/>
      </c>
      <c r="I160" s="97" t="str">
        <f>IF(F160&lt;&gt;"",F160/'Project Summary'!$C$10, "")</f>
        <v/>
      </c>
      <c r="J160" s="68"/>
      <c r="K160" s="69"/>
      <c r="L160" s="102"/>
      <c r="M160" s="102"/>
      <c r="N160" s="68"/>
      <c r="O160" s="68"/>
      <c r="P160" s="106"/>
      <c r="Q160" s="107"/>
      <c r="R160" s="107"/>
      <c r="S160" s="107"/>
      <c r="T160" s="107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</row>
    <row r="161" spans="2:36" x14ac:dyDescent="0.25">
      <c r="B161" s="68"/>
      <c r="C161" s="68"/>
      <c r="D161" s="70"/>
      <c r="E161" s="68"/>
      <c r="F161" s="96"/>
      <c r="G161" s="95" t="str">
        <f t="shared" si="2"/>
        <v/>
      </c>
      <c r="H161" s="91" t="str">
        <f>IF(E161&lt;&gt;"",E161/'Project Summary'!$C$9,"")</f>
        <v/>
      </c>
      <c r="I161" s="97" t="str">
        <f>IF(F161&lt;&gt;"",F161/'Project Summary'!$C$10, "")</f>
        <v/>
      </c>
      <c r="J161" s="68"/>
      <c r="K161" s="69"/>
      <c r="L161" s="102"/>
      <c r="M161" s="102"/>
      <c r="N161" s="68"/>
      <c r="O161" s="68"/>
      <c r="P161" s="106"/>
      <c r="Q161" s="107"/>
      <c r="R161" s="107"/>
      <c r="S161" s="107"/>
      <c r="T161" s="107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</row>
    <row r="162" spans="2:36" x14ac:dyDescent="0.25">
      <c r="B162" s="68"/>
      <c r="C162" s="68"/>
      <c r="D162" s="70"/>
      <c r="E162" s="68"/>
      <c r="F162" s="96"/>
      <c r="G162" s="95" t="str">
        <f t="shared" si="2"/>
        <v/>
      </c>
      <c r="H162" s="91" t="str">
        <f>IF(E162&lt;&gt;"",E162/'Project Summary'!$C$9,"")</f>
        <v/>
      </c>
      <c r="I162" s="97" t="str">
        <f>IF(F162&lt;&gt;"",F162/'Project Summary'!$C$10, "")</f>
        <v/>
      </c>
      <c r="J162" s="68"/>
      <c r="K162" s="69"/>
      <c r="L162" s="102"/>
      <c r="M162" s="102"/>
      <c r="N162" s="68"/>
      <c r="O162" s="68"/>
      <c r="P162" s="106"/>
      <c r="Q162" s="107"/>
      <c r="R162" s="107"/>
      <c r="S162" s="107"/>
      <c r="T162" s="107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</row>
    <row r="163" spans="2:36" x14ac:dyDescent="0.25">
      <c r="B163" s="68"/>
      <c r="C163" s="68"/>
      <c r="D163" s="70"/>
      <c r="E163" s="68"/>
      <c r="F163" s="96"/>
      <c r="G163" s="95" t="str">
        <f t="shared" si="2"/>
        <v/>
      </c>
      <c r="H163" s="91" t="str">
        <f>IF(E163&lt;&gt;"",E163/'Project Summary'!$C$9,"")</f>
        <v/>
      </c>
      <c r="I163" s="97" t="str">
        <f>IF(F163&lt;&gt;"",F163/'Project Summary'!$C$10, "")</f>
        <v/>
      </c>
      <c r="J163" s="68"/>
      <c r="K163" s="69"/>
      <c r="L163" s="102"/>
      <c r="M163" s="102"/>
      <c r="N163" s="68"/>
      <c r="O163" s="68"/>
      <c r="P163" s="106"/>
      <c r="Q163" s="107"/>
      <c r="R163" s="107"/>
      <c r="S163" s="107"/>
      <c r="T163" s="107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</row>
    <row r="164" spans="2:36" x14ac:dyDescent="0.25">
      <c r="B164" s="68"/>
      <c r="C164" s="68"/>
      <c r="D164" s="70"/>
      <c r="E164" s="68"/>
      <c r="F164" s="96"/>
      <c r="G164" s="95" t="str">
        <f t="shared" si="2"/>
        <v/>
      </c>
      <c r="H164" s="91" t="str">
        <f>IF(E164&lt;&gt;"",E164/'Project Summary'!$C$9,"")</f>
        <v/>
      </c>
      <c r="I164" s="97" t="str">
        <f>IF(F164&lt;&gt;"",F164/'Project Summary'!$C$10, "")</f>
        <v/>
      </c>
      <c r="J164" s="68"/>
      <c r="K164" s="69"/>
      <c r="L164" s="102"/>
      <c r="M164" s="102"/>
      <c r="N164" s="68"/>
      <c r="O164" s="68"/>
      <c r="P164" s="106"/>
      <c r="Q164" s="107"/>
      <c r="R164" s="107"/>
      <c r="S164" s="107"/>
      <c r="T164" s="107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</row>
    <row r="165" spans="2:36" x14ac:dyDescent="0.25">
      <c r="B165" s="68"/>
      <c r="C165" s="68"/>
      <c r="D165" s="70"/>
      <c r="E165" s="68"/>
      <c r="F165" s="96"/>
      <c r="G165" s="95" t="str">
        <f t="shared" si="2"/>
        <v/>
      </c>
      <c r="H165" s="91" t="str">
        <f>IF(E165&lt;&gt;"",E165/'Project Summary'!$C$9,"")</f>
        <v/>
      </c>
      <c r="I165" s="97" t="str">
        <f>IF(F165&lt;&gt;"",F165/'Project Summary'!$C$10, "")</f>
        <v/>
      </c>
      <c r="J165" s="68"/>
      <c r="K165" s="69"/>
      <c r="L165" s="102"/>
      <c r="M165" s="102"/>
      <c r="N165" s="68"/>
      <c r="O165" s="68"/>
      <c r="P165" s="106"/>
      <c r="Q165" s="107"/>
      <c r="R165" s="107"/>
      <c r="S165" s="107"/>
      <c r="T165" s="107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</row>
    <row r="166" spans="2:36" x14ac:dyDescent="0.25">
      <c r="B166" s="68"/>
      <c r="C166" s="68"/>
      <c r="D166" s="70"/>
      <c r="E166" s="68"/>
      <c r="F166" s="96"/>
      <c r="G166" s="95" t="str">
        <f t="shared" si="2"/>
        <v/>
      </c>
      <c r="H166" s="91" t="str">
        <f>IF(E166&lt;&gt;"",E166/'Project Summary'!$C$9,"")</f>
        <v/>
      </c>
      <c r="I166" s="97" t="str">
        <f>IF(F166&lt;&gt;"",F166/'Project Summary'!$C$10, "")</f>
        <v/>
      </c>
      <c r="J166" s="68"/>
      <c r="K166" s="69"/>
      <c r="L166" s="102"/>
      <c r="M166" s="102"/>
      <c r="N166" s="68"/>
      <c r="O166" s="68"/>
      <c r="P166" s="106"/>
      <c r="Q166" s="107"/>
      <c r="R166" s="107"/>
      <c r="S166" s="107"/>
      <c r="T166" s="107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</row>
    <row r="167" spans="2:36" x14ac:dyDescent="0.25">
      <c r="B167" s="68"/>
      <c r="C167" s="68"/>
      <c r="D167" s="70"/>
      <c r="E167" s="68"/>
      <c r="F167" s="96"/>
      <c r="G167" s="95" t="str">
        <f t="shared" si="2"/>
        <v/>
      </c>
      <c r="H167" s="91" t="str">
        <f>IF(E167&lt;&gt;"",E167/'Project Summary'!$C$9,"")</f>
        <v/>
      </c>
      <c r="I167" s="97" t="str">
        <f>IF(F167&lt;&gt;"",F167/'Project Summary'!$C$10, "")</f>
        <v/>
      </c>
      <c r="J167" s="68"/>
      <c r="K167" s="69"/>
      <c r="L167" s="102"/>
      <c r="M167" s="102"/>
      <c r="N167" s="68"/>
      <c r="O167" s="68"/>
      <c r="P167" s="106"/>
      <c r="Q167" s="107"/>
      <c r="R167" s="107"/>
      <c r="S167" s="107"/>
      <c r="T167" s="107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</row>
    <row r="168" spans="2:36" x14ac:dyDescent="0.25">
      <c r="B168" s="68"/>
      <c r="C168" s="68"/>
      <c r="D168" s="70"/>
      <c r="E168" s="68"/>
      <c r="F168" s="96"/>
      <c r="G168" s="95" t="str">
        <f t="shared" si="2"/>
        <v/>
      </c>
      <c r="H168" s="91" t="str">
        <f>IF(E168&lt;&gt;"",E168/'Project Summary'!$C$9,"")</f>
        <v/>
      </c>
      <c r="I168" s="97" t="str">
        <f>IF(F168&lt;&gt;"",F168/'Project Summary'!$C$10, "")</f>
        <v/>
      </c>
      <c r="J168" s="68"/>
      <c r="K168" s="69"/>
      <c r="L168" s="102"/>
      <c r="M168" s="102"/>
      <c r="N168" s="68"/>
      <c r="O168" s="68"/>
      <c r="P168" s="106"/>
      <c r="Q168" s="107"/>
      <c r="R168" s="107"/>
      <c r="S168" s="107"/>
      <c r="T168" s="107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</row>
    <row r="169" spans="2:36" x14ac:dyDescent="0.25">
      <c r="B169" s="68"/>
      <c r="C169" s="68"/>
      <c r="D169" s="70"/>
      <c r="E169" s="68"/>
      <c r="F169" s="96"/>
      <c r="G169" s="95" t="str">
        <f t="shared" si="2"/>
        <v/>
      </c>
      <c r="H169" s="91" t="str">
        <f>IF(E169&lt;&gt;"",E169/'Project Summary'!$C$9,"")</f>
        <v/>
      </c>
      <c r="I169" s="97" t="str">
        <f>IF(F169&lt;&gt;"",F169/'Project Summary'!$C$10, "")</f>
        <v/>
      </c>
      <c r="J169" s="68"/>
      <c r="K169" s="69"/>
      <c r="L169" s="102"/>
      <c r="M169" s="102"/>
      <c r="N169" s="68"/>
      <c r="O169" s="68"/>
      <c r="P169" s="106"/>
      <c r="Q169" s="107"/>
      <c r="R169" s="107"/>
      <c r="S169" s="107"/>
      <c r="T169" s="107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</row>
    <row r="170" spans="2:36" x14ac:dyDescent="0.25">
      <c r="B170" s="68"/>
      <c r="C170" s="68"/>
      <c r="D170" s="70"/>
      <c r="E170" s="68"/>
      <c r="F170" s="96"/>
      <c r="G170" s="95" t="str">
        <f t="shared" si="2"/>
        <v/>
      </c>
      <c r="H170" s="91" t="str">
        <f>IF(E170&lt;&gt;"",E170/'Project Summary'!$C$9,"")</f>
        <v/>
      </c>
      <c r="I170" s="97" t="str">
        <f>IF(F170&lt;&gt;"",F170/'Project Summary'!$C$10, "")</f>
        <v/>
      </c>
      <c r="J170" s="68"/>
      <c r="K170" s="69"/>
      <c r="L170" s="102"/>
      <c r="M170" s="102"/>
      <c r="N170" s="68"/>
      <c r="O170" s="68"/>
      <c r="P170" s="106"/>
      <c r="Q170" s="107"/>
      <c r="R170" s="107"/>
      <c r="S170" s="107"/>
      <c r="T170" s="107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</row>
    <row r="171" spans="2:36" x14ac:dyDescent="0.25">
      <c r="B171" s="68"/>
      <c r="C171" s="68"/>
      <c r="D171" s="70"/>
      <c r="E171" s="68"/>
      <c r="F171" s="96"/>
      <c r="G171" s="95" t="str">
        <f t="shared" si="2"/>
        <v/>
      </c>
      <c r="H171" s="91" t="str">
        <f>IF(E171&lt;&gt;"",E171/'Project Summary'!$C$9,"")</f>
        <v/>
      </c>
      <c r="I171" s="97" t="str">
        <f>IF(F171&lt;&gt;"",F171/'Project Summary'!$C$10, "")</f>
        <v/>
      </c>
      <c r="J171" s="68"/>
      <c r="K171" s="69"/>
      <c r="L171" s="102"/>
      <c r="M171" s="102"/>
      <c r="N171" s="68"/>
      <c r="O171" s="68"/>
      <c r="P171" s="106"/>
      <c r="Q171" s="107"/>
      <c r="R171" s="107"/>
      <c r="S171" s="107"/>
      <c r="T171" s="107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</row>
    <row r="172" spans="2:36" x14ac:dyDescent="0.25">
      <c r="B172" s="68"/>
      <c r="C172" s="68"/>
      <c r="D172" s="70"/>
      <c r="E172" s="68"/>
      <c r="F172" s="96"/>
      <c r="G172" s="95" t="str">
        <f t="shared" si="2"/>
        <v/>
      </c>
      <c r="H172" s="91" t="str">
        <f>IF(E172&lt;&gt;"",E172/'Project Summary'!$C$9,"")</f>
        <v/>
      </c>
      <c r="I172" s="97" t="str">
        <f>IF(F172&lt;&gt;"",F172/'Project Summary'!$C$10, "")</f>
        <v/>
      </c>
      <c r="J172" s="68"/>
      <c r="K172" s="69"/>
      <c r="L172" s="102"/>
      <c r="M172" s="102"/>
      <c r="N172" s="68"/>
      <c r="O172" s="68"/>
      <c r="P172" s="106"/>
      <c r="Q172" s="107"/>
      <c r="R172" s="107"/>
      <c r="S172" s="107"/>
      <c r="T172" s="107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</row>
    <row r="173" spans="2:36" x14ac:dyDescent="0.25">
      <c r="B173" s="68"/>
      <c r="C173" s="68"/>
      <c r="D173" s="70"/>
      <c r="E173" s="68"/>
      <c r="F173" s="96"/>
      <c r="G173" s="95" t="str">
        <f t="shared" si="2"/>
        <v/>
      </c>
      <c r="H173" s="91" t="str">
        <f>IF(E173&lt;&gt;"",E173/'Project Summary'!$C$9,"")</f>
        <v/>
      </c>
      <c r="I173" s="97" t="str">
        <f>IF(F173&lt;&gt;"",F173/'Project Summary'!$C$10, "")</f>
        <v/>
      </c>
      <c r="J173" s="68"/>
      <c r="K173" s="69"/>
      <c r="L173" s="102"/>
      <c r="M173" s="102"/>
      <c r="N173" s="68"/>
      <c r="O173" s="68"/>
      <c r="P173" s="106"/>
      <c r="Q173" s="107"/>
      <c r="R173" s="107"/>
      <c r="S173" s="107"/>
      <c r="T173" s="107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</row>
    <row r="174" spans="2:36" x14ac:dyDescent="0.25">
      <c r="B174" s="68"/>
      <c r="C174" s="68"/>
      <c r="D174" s="70"/>
      <c r="E174" s="68"/>
      <c r="F174" s="96"/>
      <c r="G174" s="95" t="str">
        <f t="shared" si="2"/>
        <v/>
      </c>
      <c r="H174" s="91" t="str">
        <f>IF(E174&lt;&gt;"",E174/'Project Summary'!$C$9,"")</f>
        <v/>
      </c>
      <c r="I174" s="97" t="str">
        <f>IF(F174&lt;&gt;"",F174/'Project Summary'!$C$10, "")</f>
        <v/>
      </c>
      <c r="J174" s="68"/>
      <c r="K174" s="69"/>
      <c r="L174" s="102"/>
      <c r="M174" s="102"/>
      <c r="N174" s="68"/>
      <c r="O174" s="68"/>
      <c r="P174" s="106"/>
      <c r="Q174" s="107"/>
      <c r="R174" s="107"/>
      <c r="S174" s="107"/>
      <c r="T174" s="107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</row>
    <row r="175" spans="2:36" x14ac:dyDescent="0.25">
      <c r="B175" s="68"/>
      <c r="C175" s="68"/>
      <c r="D175" s="70"/>
      <c r="E175" s="68"/>
      <c r="F175" s="96"/>
      <c r="G175" s="95" t="str">
        <f t="shared" si="2"/>
        <v/>
      </c>
      <c r="H175" s="91" t="str">
        <f>IF(E175&lt;&gt;"",E175/'Project Summary'!$C$9,"")</f>
        <v/>
      </c>
      <c r="I175" s="97" t="str">
        <f>IF(F175&lt;&gt;"",F175/'Project Summary'!$C$10, "")</f>
        <v/>
      </c>
      <c r="J175" s="68"/>
      <c r="K175" s="69"/>
      <c r="L175" s="102"/>
      <c r="M175" s="102"/>
      <c r="N175" s="68"/>
      <c r="O175" s="68"/>
      <c r="P175" s="106"/>
      <c r="Q175" s="107"/>
      <c r="R175" s="107"/>
      <c r="S175" s="107"/>
      <c r="T175" s="107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</row>
    <row r="176" spans="2:36" x14ac:dyDescent="0.25">
      <c r="B176" s="68"/>
      <c r="C176" s="68"/>
      <c r="D176" s="70"/>
      <c r="E176" s="68"/>
      <c r="F176" s="96"/>
      <c r="G176" s="95" t="str">
        <f t="shared" si="2"/>
        <v/>
      </c>
      <c r="H176" s="91" t="str">
        <f>IF(E176&lt;&gt;"",E176/'Project Summary'!$C$9,"")</f>
        <v/>
      </c>
      <c r="I176" s="97" t="str">
        <f>IF(F176&lt;&gt;"",F176/'Project Summary'!$C$10, "")</f>
        <v/>
      </c>
      <c r="J176" s="68"/>
      <c r="K176" s="69"/>
      <c r="L176" s="102"/>
      <c r="M176" s="102"/>
      <c r="N176" s="68"/>
      <c r="O176" s="68"/>
      <c r="P176" s="106"/>
      <c r="Q176" s="107"/>
      <c r="R176" s="107"/>
      <c r="S176" s="107"/>
      <c r="T176" s="107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</row>
    <row r="177" spans="2:36" x14ac:dyDescent="0.25">
      <c r="B177" s="68"/>
      <c r="C177" s="68"/>
      <c r="D177" s="70"/>
      <c r="E177" s="68"/>
      <c r="F177" s="96"/>
      <c r="G177" s="95" t="str">
        <f t="shared" si="2"/>
        <v/>
      </c>
      <c r="H177" s="91" t="str">
        <f>IF(E177&lt;&gt;"",E177/'Project Summary'!$C$9,"")</f>
        <v/>
      </c>
      <c r="I177" s="97" t="str">
        <f>IF(F177&lt;&gt;"",F177/'Project Summary'!$C$10, "")</f>
        <v/>
      </c>
      <c r="J177" s="68"/>
      <c r="K177" s="69"/>
      <c r="L177" s="102"/>
      <c r="M177" s="102"/>
      <c r="N177" s="68"/>
      <c r="O177" s="68"/>
      <c r="P177" s="106"/>
      <c r="Q177" s="107"/>
      <c r="R177" s="107"/>
      <c r="S177" s="107"/>
      <c r="T177" s="107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</row>
    <row r="178" spans="2:36" x14ac:dyDescent="0.25">
      <c r="B178" s="68"/>
      <c r="C178" s="68"/>
      <c r="D178" s="70"/>
      <c r="E178" s="68"/>
      <c r="F178" s="96"/>
      <c r="G178" s="95" t="str">
        <f t="shared" si="2"/>
        <v/>
      </c>
      <c r="H178" s="91" t="str">
        <f>IF(E178&lt;&gt;"",E178/'Project Summary'!$C$9,"")</f>
        <v/>
      </c>
      <c r="I178" s="97" t="str">
        <f>IF(F178&lt;&gt;"",F178/'Project Summary'!$C$10, "")</f>
        <v/>
      </c>
      <c r="J178" s="68"/>
      <c r="K178" s="69"/>
      <c r="L178" s="102"/>
      <c r="M178" s="102"/>
      <c r="N178" s="68"/>
      <c r="O178" s="68"/>
      <c r="P178" s="106"/>
      <c r="Q178" s="107"/>
      <c r="R178" s="107"/>
      <c r="S178" s="107"/>
      <c r="T178" s="107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</row>
    <row r="179" spans="2:36" x14ac:dyDescent="0.25">
      <c r="B179" s="68"/>
      <c r="C179" s="68"/>
      <c r="D179" s="70"/>
      <c r="E179" s="68"/>
      <c r="F179" s="96"/>
      <c r="G179" s="95" t="str">
        <f t="shared" si="2"/>
        <v/>
      </c>
      <c r="H179" s="91" t="str">
        <f>IF(E179&lt;&gt;"",E179/'Project Summary'!$C$9,"")</f>
        <v/>
      </c>
      <c r="I179" s="97" t="str">
        <f>IF(F179&lt;&gt;"",F179/'Project Summary'!$C$10, "")</f>
        <v/>
      </c>
      <c r="J179" s="68"/>
      <c r="K179" s="69"/>
      <c r="L179" s="102"/>
      <c r="M179" s="102"/>
      <c r="N179" s="68"/>
      <c r="O179" s="68"/>
      <c r="P179" s="106"/>
      <c r="Q179" s="107"/>
      <c r="R179" s="107"/>
      <c r="S179" s="107"/>
      <c r="T179" s="107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</row>
    <row r="180" spans="2:36" x14ac:dyDescent="0.25">
      <c r="B180" s="68"/>
      <c r="C180" s="68"/>
      <c r="D180" s="70"/>
      <c r="E180" s="68"/>
      <c r="F180" s="96"/>
      <c r="G180" s="95" t="str">
        <f t="shared" si="2"/>
        <v/>
      </c>
      <c r="H180" s="91" t="str">
        <f>IF(E180&lt;&gt;"",E180/'Project Summary'!$C$9,"")</f>
        <v/>
      </c>
      <c r="I180" s="97" t="str">
        <f>IF(F180&lt;&gt;"",F180/'Project Summary'!$C$10, "")</f>
        <v/>
      </c>
      <c r="J180" s="68"/>
      <c r="K180" s="69"/>
      <c r="L180" s="102"/>
      <c r="M180" s="102"/>
      <c r="N180" s="68"/>
      <c r="O180" s="68"/>
      <c r="P180" s="106"/>
      <c r="Q180" s="107"/>
      <c r="R180" s="107"/>
      <c r="S180" s="107"/>
      <c r="T180" s="107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</row>
    <row r="181" spans="2:36" x14ac:dyDescent="0.25">
      <c r="B181" s="68"/>
      <c r="C181" s="68"/>
      <c r="D181" s="70"/>
      <c r="E181" s="68"/>
      <c r="F181" s="96"/>
      <c r="G181" s="95" t="str">
        <f t="shared" si="2"/>
        <v/>
      </c>
      <c r="H181" s="91" t="str">
        <f>IF(E181&lt;&gt;"",E181/'Project Summary'!$C$9,"")</f>
        <v/>
      </c>
      <c r="I181" s="97" t="str">
        <f>IF(F181&lt;&gt;"",F181/'Project Summary'!$C$10, "")</f>
        <v/>
      </c>
      <c r="J181" s="68"/>
      <c r="K181" s="69"/>
      <c r="L181" s="102"/>
      <c r="M181" s="102"/>
      <c r="N181" s="68"/>
      <c r="O181" s="68"/>
      <c r="P181" s="106"/>
      <c r="Q181" s="107"/>
      <c r="R181" s="107"/>
      <c r="S181" s="107"/>
      <c r="T181" s="107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</row>
    <row r="182" spans="2:36" x14ac:dyDescent="0.25">
      <c r="B182" s="68"/>
      <c r="C182" s="68"/>
      <c r="D182" s="70"/>
      <c r="E182" s="68"/>
      <c r="F182" s="96"/>
      <c r="G182" s="95" t="str">
        <f t="shared" si="2"/>
        <v/>
      </c>
      <c r="H182" s="91" t="str">
        <f>IF(E182&lt;&gt;"",E182/'Project Summary'!$C$9,"")</f>
        <v/>
      </c>
      <c r="I182" s="97" t="str">
        <f>IF(F182&lt;&gt;"",F182/'Project Summary'!$C$10, "")</f>
        <v/>
      </c>
      <c r="J182" s="68"/>
      <c r="K182" s="69"/>
      <c r="L182" s="102"/>
      <c r="M182" s="102"/>
      <c r="N182" s="68"/>
      <c r="O182" s="68"/>
      <c r="P182" s="106"/>
      <c r="Q182" s="107"/>
      <c r="R182" s="107"/>
      <c r="S182" s="107"/>
      <c r="T182" s="107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</row>
    <row r="183" spans="2:36" x14ac:dyDescent="0.25">
      <c r="B183" s="68"/>
      <c r="C183" s="68"/>
      <c r="D183" s="70"/>
      <c r="E183" s="68"/>
      <c r="F183" s="96"/>
      <c r="G183" s="95" t="str">
        <f t="shared" si="2"/>
        <v/>
      </c>
      <c r="H183" s="91" t="str">
        <f>IF(E183&lt;&gt;"",E183/'Project Summary'!$C$9,"")</f>
        <v/>
      </c>
      <c r="I183" s="97" t="str">
        <f>IF(F183&lt;&gt;"",F183/'Project Summary'!$C$10, "")</f>
        <v/>
      </c>
      <c r="J183" s="68"/>
      <c r="K183" s="69"/>
      <c r="L183" s="102"/>
      <c r="M183" s="102"/>
      <c r="N183" s="68"/>
      <c r="O183" s="68"/>
      <c r="P183" s="106"/>
      <c r="Q183" s="107"/>
      <c r="R183" s="107"/>
      <c r="S183" s="107"/>
      <c r="T183" s="107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</row>
    <row r="184" spans="2:36" x14ac:dyDescent="0.25">
      <c r="B184" s="68"/>
      <c r="C184" s="68"/>
      <c r="D184" s="70"/>
      <c r="E184" s="68"/>
      <c r="F184" s="96"/>
      <c r="G184" s="95" t="str">
        <f t="shared" si="2"/>
        <v/>
      </c>
      <c r="H184" s="91" t="str">
        <f>IF(E184&lt;&gt;"",E184/'Project Summary'!$C$9,"")</f>
        <v/>
      </c>
      <c r="I184" s="97" t="str">
        <f>IF(F184&lt;&gt;"",F184/'Project Summary'!$C$10, "")</f>
        <v/>
      </c>
      <c r="J184" s="68"/>
      <c r="K184" s="69"/>
      <c r="L184" s="102"/>
      <c r="M184" s="102"/>
      <c r="N184" s="68"/>
      <c r="O184" s="68"/>
      <c r="P184" s="106"/>
      <c r="Q184" s="107"/>
      <c r="R184" s="107"/>
      <c r="S184" s="107"/>
      <c r="T184" s="107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</row>
    <row r="185" spans="2:36" x14ac:dyDescent="0.25">
      <c r="B185" s="68"/>
      <c r="C185" s="68"/>
      <c r="D185" s="70"/>
      <c r="E185" s="68"/>
      <c r="F185" s="96"/>
      <c r="G185" s="95" t="str">
        <f t="shared" si="2"/>
        <v/>
      </c>
      <c r="H185" s="91" t="str">
        <f>IF(E185&lt;&gt;"",E185/'Project Summary'!$C$9,"")</f>
        <v/>
      </c>
      <c r="I185" s="97" t="str">
        <f>IF(F185&lt;&gt;"",F185/'Project Summary'!$C$10, "")</f>
        <v/>
      </c>
      <c r="J185" s="68"/>
      <c r="K185" s="69"/>
      <c r="L185" s="102"/>
      <c r="M185" s="102"/>
      <c r="N185" s="68"/>
      <c r="O185" s="68"/>
      <c r="P185" s="106"/>
      <c r="Q185" s="107"/>
      <c r="R185" s="107"/>
      <c r="S185" s="107"/>
      <c r="T185" s="107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</row>
    <row r="186" spans="2:36" x14ac:dyDescent="0.25">
      <c r="B186" s="68"/>
      <c r="C186" s="68"/>
      <c r="D186" s="70"/>
      <c r="E186" s="68"/>
      <c r="F186" s="96"/>
      <c r="G186" s="95" t="str">
        <f t="shared" si="2"/>
        <v/>
      </c>
      <c r="H186" s="91" t="str">
        <f>IF(E186&lt;&gt;"",E186/'Project Summary'!$C$9,"")</f>
        <v/>
      </c>
      <c r="I186" s="97" t="str">
        <f>IF(F186&lt;&gt;"",F186/'Project Summary'!$C$10, "")</f>
        <v/>
      </c>
      <c r="J186" s="68"/>
      <c r="K186" s="69"/>
      <c r="L186" s="102"/>
      <c r="M186" s="102"/>
      <c r="N186" s="68"/>
      <c r="O186" s="68"/>
      <c r="P186" s="106"/>
      <c r="Q186" s="107"/>
      <c r="R186" s="107"/>
      <c r="S186" s="107"/>
      <c r="T186" s="107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</row>
    <row r="187" spans="2:36" x14ac:dyDescent="0.25">
      <c r="B187" s="68"/>
      <c r="C187" s="68"/>
      <c r="D187" s="70"/>
      <c r="E187" s="68"/>
      <c r="F187" s="96"/>
      <c r="G187" s="95" t="str">
        <f t="shared" si="2"/>
        <v/>
      </c>
      <c r="H187" s="91" t="str">
        <f>IF(E187&lt;&gt;"",E187/'Project Summary'!$C$9,"")</f>
        <v/>
      </c>
      <c r="I187" s="97" t="str">
        <f>IF(F187&lt;&gt;"",F187/'Project Summary'!$C$10, "")</f>
        <v/>
      </c>
      <c r="J187" s="68"/>
      <c r="K187" s="69"/>
      <c r="L187" s="102"/>
      <c r="M187" s="102"/>
      <c r="N187" s="68"/>
      <c r="O187" s="68"/>
      <c r="P187" s="106"/>
      <c r="Q187" s="107"/>
      <c r="R187" s="107"/>
      <c r="S187" s="107"/>
      <c r="T187" s="107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</row>
    <row r="188" spans="2:36" x14ac:dyDescent="0.25">
      <c r="B188" s="68"/>
      <c r="C188" s="68"/>
      <c r="D188" s="70"/>
      <c r="E188" s="68"/>
      <c r="F188" s="96"/>
      <c r="G188" s="95" t="str">
        <f t="shared" si="2"/>
        <v/>
      </c>
      <c r="H188" s="91" t="str">
        <f>IF(E188&lt;&gt;"",E188/'Project Summary'!$C$9,"")</f>
        <v/>
      </c>
      <c r="I188" s="97" t="str">
        <f>IF(F188&lt;&gt;"",F188/'Project Summary'!$C$10, "")</f>
        <v/>
      </c>
      <c r="J188" s="68"/>
      <c r="K188" s="69"/>
      <c r="L188" s="102"/>
      <c r="M188" s="102"/>
      <c r="N188" s="68"/>
      <c r="O188" s="68"/>
      <c r="P188" s="106"/>
      <c r="Q188" s="107"/>
      <c r="R188" s="107"/>
      <c r="S188" s="107"/>
      <c r="T188" s="107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</row>
    <row r="189" spans="2:36" x14ac:dyDescent="0.25">
      <c r="B189" s="68"/>
      <c r="C189" s="68"/>
      <c r="D189" s="70"/>
      <c r="E189" s="68"/>
      <c r="F189" s="96"/>
      <c r="G189" s="95" t="str">
        <f t="shared" si="2"/>
        <v/>
      </c>
      <c r="H189" s="91" t="str">
        <f>IF(E189&lt;&gt;"",E189/'Project Summary'!$C$9,"")</f>
        <v/>
      </c>
      <c r="I189" s="97" t="str">
        <f>IF(F189&lt;&gt;"",F189/'Project Summary'!$C$10, "")</f>
        <v/>
      </c>
      <c r="J189" s="68"/>
      <c r="K189" s="69"/>
      <c r="L189" s="102"/>
      <c r="M189" s="102"/>
      <c r="N189" s="68"/>
      <c r="O189" s="68"/>
      <c r="P189" s="106"/>
      <c r="Q189" s="107"/>
      <c r="R189" s="107"/>
      <c r="S189" s="107"/>
      <c r="T189" s="107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</row>
    <row r="190" spans="2:36" x14ac:dyDescent="0.25">
      <c r="B190" s="68"/>
      <c r="C190" s="68"/>
      <c r="D190" s="70"/>
      <c r="E190" s="68"/>
      <c r="F190" s="96"/>
      <c r="G190" s="95" t="str">
        <f t="shared" si="2"/>
        <v/>
      </c>
      <c r="H190" s="91" t="str">
        <f>IF(E190&lt;&gt;"",E190/'Project Summary'!$C$9,"")</f>
        <v/>
      </c>
      <c r="I190" s="97" t="str">
        <f>IF(F190&lt;&gt;"",F190/'Project Summary'!$C$10, "")</f>
        <v/>
      </c>
      <c r="J190" s="68"/>
      <c r="K190" s="69"/>
      <c r="L190" s="102"/>
      <c r="M190" s="102"/>
      <c r="N190" s="68"/>
      <c r="O190" s="68"/>
      <c r="P190" s="106"/>
      <c r="Q190" s="107"/>
      <c r="R190" s="107"/>
      <c r="S190" s="107"/>
      <c r="T190" s="107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</row>
    <row r="191" spans="2:36" x14ac:dyDescent="0.25">
      <c r="B191" s="68"/>
      <c r="C191" s="68"/>
      <c r="D191" s="70"/>
      <c r="E191" s="68"/>
      <c r="F191" s="96"/>
      <c r="G191" s="95" t="str">
        <f t="shared" si="2"/>
        <v/>
      </c>
      <c r="H191" s="91" t="str">
        <f>IF(E191&lt;&gt;"",E191/'Project Summary'!$C$9,"")</f>
        <v/>
      </c>
      <c r="I191" s="97" t="str">
        <f>IF(F191&lt;&gt;"",F191/'Project Summary'!$C$10, "")</f>
        <v/>
      </c>
      <c r="J191" s="68"/>
      <c r="K191" s="69"/>
      <c r="L191" s="102"/>
      <c r="M191" s="102"/>
      <c r="N191" s="68"/>
      <c r="O191" s="68"/>
      <c r="P191" s="106"/>
      <c r="Q191" s="107"/>
      <c r="R191" s="107"/>
      <c r="S191" s="107"/>
      <c r="T191" s="107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</row>
    <row r="192" spans="2:36" x14ac:dyDescent="0.25">
      <c r="B192" s="68"/>
      <c r="C192" s="68"/>
      <c r="D192" s="70"/>
      <c r="E192" s="68"/>
      <c r="F192" s="96"/>
      <c r="G192" s="95" t="str">
        <f t="shared" si="2"/>
        <v/>
      </c>
      <c r="H192" s="91" t="str">
        <f>IF(E192&lt;&gt;"",E192/'Project Summary'!$C$9,"")</f>
        <v/>
      </c>
      <c r="I192" s="97" t="str">
        <f>IF(F192&lt;&gt;"",F192/'Project Summary'!$C$10, "")</f>
        <v/>
      </c>
      <c r="J192" s="68"/>
      <c r="K192" s="69"/>
      <c r="L192" s="102"/>
      <c r="M192" s="102"/>
      <c r="N192" s="68"/>
      <c r="O192" s="68"/>
      <c r="P192" s="106"/>
      <c r="Q192" s="107"/>
      <c r="R192" s="107"/>
      <c r="S192" s="107"/>
      <c r="T192" s="107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</row>
    <row r="193" spans="2:36" x14ac:dyDescent="0.25">
      <c r="B193" s="68"/>
      <c r="C193" s="68"/>
      <c r="D193" s="70"/>
      <c r="E193" s="68"/>
      <c r="F193" s="96"/>
      <c r="G193" s="95" t="str">
        <f t="shared" si="2"/>
        <v/>
      </c>
      <c r="H193" s="91" t="str">
        <f>IF(E193&lt;&gt;"",E193/'Project Summary'!$C$9,"")</f>
        <v/>
      </c>
      <c r="I193" s="97" t="str">
        <f>IF(F193&lt;&gt;"",F193/'Project Summary'!$C$10, "")</f>
        <v/>
      </c>
      <c r="J193" s="68"/>
      <c r="K193" s="69"/>
      <c r="L193" s="102"/>
      <c r="M193" s="102"/>
      <c r="N193" s="68"/>
      <c r="O193" s="68"/>
      <c r="P193" s="106"/>
      <c r="Q193" s="107"/>
      <c r="R193" s="107"/>
      <c r="S193" s="107"/>
      <c r="T193" s="107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</row>
    <row r="194" spans="2:36" x14ac:dyDescent="0.25">
      <c r="B194" s="68"/>
      <c r="C194" s="68"/>
      <c r="D194" s="70"/>
      <c r="E194" s="68"/>
      <c r="F194" s="96"/>
      <c r="G194" s="95" t="str">
        <f t="shared" si="2"/>
        <v/>
      </c>
      <c r="H194" s="91" t="str">
        <f>IF(E194&lt;&gt;"",E194/'Project Summary'!$C$9,"")</f>
        <v/>
      </c>
      <c r="I194" s="97" t="str">
        <f>IF(F194&lt;&gt;"",F194/'Project Summary'!$C$10, "")</f>
        <v/>
      </c>
      <c r="J194" s="68"/>
      <c r="K194" s="69"/>
      <c r="L194" s="102"/>
      <c r="M194" s="102"/>
      <c r="N194" s="68"/>
      <c r="O194" s="68"/>
      <c r="P194" s="106"/>
      <c r="Q194" s="107"/>
      <c r="R194" s="107"/>
      <c r="S194" s="107"/>
      <c r="T194" s="107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</row>
    <row r="195" spans="2:36" x14ac:dyDescent="0.25">
      <c r="B195" s="68"/>
      <c r="C195" s="68"/>
      <c r="D195" s="70"/>
      <c r="E195" s="68"/>
      <c r="F195" s="96"/>
      <c r="G195" s="95" t="str">
        <f t="shared" si="2"/>
        <v/>
      </c>
      <c r="H195" s="91" t="str">
        <f>IF(E195&lt;&gt;"",E195/'Project Summary'!$C$9,"")</f>
        <v/>
      </c>
      <c r="I195" s="97" t="str">
        <f>IF(F195&lt;&gt;"",F195/'Project Summary'!$C$10, "")</f>
        <v/>
      </c>
      <c r="J195" s="68"/>
      <c r="K195" s="69"/>
      <c r="L195" s="102"/>
      <c r="M195" s="102"/>
      <c r="N195" s="68"/>
      <c r="O195" s="68"/>
      <c r="P195" s="106"/>
      <c r="Q195" s="107"/>
      <c r="R195" s="107"/>
      <c r="S195" s="107"/>
      <c r="T195" s="107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</row>
    <row r="196" spans="2:36" x14ac:dyDescent="0.25">
      <c r="B196" s="68"/>
      <c r="C196" s="68"/>
      <c r="D196" s="70"/>
      <c r="E196" s="68"/>
      <c r="F196" s="96"/>
      <c r="G196" s="95" t="str">
        <f t="shared" si="2"/>
        <v/>
      </c>
      <c r="H196" s="91" t="str">
        <f>IF(E196&lt;&gt;"",E196/'Project Summary'!$C$9,"")</f>
        <v/>
      </c>
      <c r="I196" s="97" t="str">
        <f>IF(F196&lt;&gt;"",F196/'Project Summary'!$C$10, "")</f>
        <v/>
      </c>
      <c r="J196" s="68"/>
      <c r="K196" s="69"/>
      <c r="L196" s="102"/>
      <c r="M196" s="102"/>
      <c r="N196" s="68"/>
      <c r="O196" s="68"/>
      <c r="P196" s="106"/>
      <c r="Q196" s="107"/>
      <c r="R196" s="107"/>
      <c r="S196" s="107"/>
      <c r="T196" s="107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</row>
    <row r="197" spans="2:36" x14ac:dyDescent="0.25">
      <c r="B197" s="68"/>
      <c r="C197" s="68"/>
      <c r="D197" s="70"/>
      <c r="E197" s="68"/>
      <c r="F197" s="96"/>
      <c r="G197" s="95" t="str">
        <f t="shared" si="2"/>
        <v/>
      </c>
      <c r="H197" s="91" t="str">
        <f>IF(E197&lt;&gt;"",E197/'Project Summary'!$C$9,"")</f>
        <v/>
      </c>
      <c r="I197" s="97" t="str">
        <f>IF(F197&lt;&gt;"",F197/'Project Summary'!$C$10, "")</f>
        <v/>
      </c>
      <c r="J197" s="68"/>
      <c r="K197" s="69"/>
      <c r="L197" s="102"/>
      <c r="M197" s="102"/>
      <c r="N197" s="68"/>
      <c r="O197" s="68"/>
      <c r="P197" s="106"/>
      <c r="Q197" s="107"/>
      <c r="R197" s="107"/>
      <c r="S197" s="107"/>
      <c r="T197" s="107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</row>
    <row r="198" spans="2:36" x14ac:dyDescent="0.25">
      <c r="B198" s="68"/>
      <c r="C198" s="68"/>
      <c r="D198" s="70"/>
      <c r="E198" s="68"/>
      <c r="F198" s="96"/>
      <c r="G198" s="95" t="str">
        <f t="shared" si="2"/>
        <v/>
      </c>
      <c r="H198" s="91" t="str">
        <f>IF(E198&lt;&gt;"",E198/'Project Summary'!$C$9,"")</f>
        <v/>
      </c>
      <c r="I198" s="97" t="str">
        <f>IF(F198&lt;&gt;"",F198/'Project Summary'!$C$10, "")</f>
        <v/>
      </c>
      <c r="J198" s="68"/>
      <c r="K198" s="69"/>
      <c r="L198" s="102"/>
      <c r="M198" s="102"/>
      <c r="N198" s="68"/>
      <c r="O198" s="68"/>
      <c r="P198" s="106"/>
      <c r="Q198" s="107"/>
      <c r="R198" s="107"/>
      <c r="S198" s="107"/>
      <c r="T198" s="107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</row>
    <row r="199" spans="2:36" x14ac:dyDescent="0.25">
      <c r="B199" s="68"/>
      <c r="C199" s="68"/>
      <c r="D199" s="70"/>
      <c r="E199" s="68"/>
      <c r="F199" s="96"/>
      <c r="G199" s="95" t="str">
        <f t="shared" si="2"/>
        <v/>
      </c>
      <c r="H199" s="91" t="str">
        <f>IF(E199&lt;&gt;"",E199/'Project Summary'!$C$9,"")</f>
        <v/>
      </c>
      <c r="I199" s="97" t="str">
        <f>IF(F199&lt;&gt;"",F199/'Project Summary'!$C$10, "")</f>
        <v/>
      </c>
      <c r="J199" s="68"/>
      <c r="K199" s="69"/>
      <c r="L199" s="102"/>
      <c r="M199" s="102"/>
      <c r="N199" s="68"/>
      <c r="O199" s="68"/>
      <c r="P199" s="106"/>
      <c r="Q199" s="107"/>
      <c r="R199" s="107"/>
      <c r="S199" s="107"/>
      <c r="T199" s="107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</row>
    <row r="200" spans="2:36" x14ac:dyDescent="0.25">
      <c r="B200" s="68"/>
      <c r="C200" s="68"/>
      <c r="D200" s="70"/>
      <c r="E200" s="68"/>
      <c r="F200" s="96"/>
      <c r="G200" s="95" t="str">
        <f t="shared" si="2"/>
        <v/>
      </c>
      <c r="H200" s="91" t="str">
        <f>IF(E200&lt;&gt;"",E200/'Project Summary'!$C$9,"")</f>
        <v/>
      </c>
      <c r="I200" s="97" t="str">
        <f>IF(F200&lt;&gt;"",F200/'Project Summary'!$C$10, "")</f>
        <v/>
      </c>
      <c r="J200" s="68"/>
      <c r="K200" s="69"/>
      <c r="L200" s="102"/>
      <c r="M200" s="102"/>
      <c r="N200" s="68"/>
      <c r="O200" s="68"/>
      <c r="P200" s="106"/>
      <c r="Q200" s="107"/>
      <c r="R200" s="107"/>
      <c r="S200" s="107"/>
      <c r="T200" s="107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</row>
    <row r="201" spans="2:36" x14ac:dyDescent="0.25">
      <c r="B201" s="68"/>
      <c r="C201" s="68"/>
      <c r="D201" s="70"/>
      <c r="E201" s="68"/>
      <c r="F201" s="96"/>
      <c r="G201" s="95" t="str">
        <f t="shared" si="2"/>
        <v/>
      </c>
      <c r="H201" s="91" t="str">
        <f>IF(E201&lt;&gt;"",E201/'Project Summary'!$C$9,"")</f>
        <v/>
      </c>
      <c r="I201" s="97" t="str">
        <f>IF(F201&lt;&gt;"",F201/'Project Summary'!$C$10, "")</f>
        <v/>
      </c>
      <c r="J201" s="68"/>
      <c r="K201" s="69"/>
      <c r="L201" s="102"/>
      <c r="M201" s="102"/>
      <c r="N201" s="68"/>
      <c r="O201" s="68"/>
      <c r="P201" s="106"/>
      <c r="Q201" s="107"/>
      <c r="R201" s="107"/>
      <c r="S201" s="107"/>
      <c r="T201" s="107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</row>
    <row r="202" spans="2:36" x14ac:dyDescent="0.25">
      <c r="B202" s="68"/>
      <c r="C202" s="68"/>
      <c r="D202" s="70"/>
      <c r="E202" s="68"/>
      <c r="F202" s="96"/>
      <c r="G202" s="95" t="str">
        <f t="shared" si="2"/>
        <v/>
      </c>
      <c r="H202" s="91" t="str">
        <f>IF(E202&lt;&gt;"",E202/'Project Summary'!$C$9,"")</f>
        <v/>
      </c>
      <c r="I202" s="97" t="str">
        <f>IF(F202&lt;&gt;"",F202/'Project Summary'!$C$10, "")</f>
        <v/>
      </c>
      <c r="J202" s="68"/>
      <c r="K202" s="69"/>
      <c r="L202" s="102"/>
      <c r="M202" s="102"/>
      <c r="N202" s="68"/>
      <c r="O202" s="68"/>
      <c r="P202" s="106"/>
      <c r="Q202" s="107"/>
      <c r="R202" s="107"/>
      <c r="S202" s="107"/>
      <c r="T202" s="107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</row>
    <row r="203" spans="2:36" x14ac:dyDescent="0.25">
      <c r="B203" s="68"/>
      <c r="C203" s="68"/>
      <c r="D203" s="70"/>
      <c r="E203" s="68"/>
      <c r="F203" s="96"/>
      <c r="G203" s="95" t="str">
        <f t="shared" si="2"/>
        <v/>
      </c>
      <c r="H203" s="91" t="str">
        <f>IF(E203&lt;&gt;"",E203/'Project Summary'!$C$9,"")</f>
        <v/>
      </c>
      <c r="I203" s="97" t="str">
        <f>IF(F203&lt;&gt;"",F203/'Project Summary'!$C$10, "")</f>
        <v/>
      </c>
      <c r="J203" s="68"/>
      <c r="K203" s="69"/>
      <c r="L203" s="102"/>
      <c r="M203" s="102"/>
      <c r="N203" s="68"/>
      <c r="O203" s="68"/>
      <c r="P203" s="106"/>
      <c r="Q203" s="107"/>
      <c r="R203" s="107"/>
      <c r="S203" s="107"/>
      <c r="T203" s="107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</row>
    <row r="204" spans="2:36" x14ac:dyDescent="0.25">
      <c r="B204" s="68"/>
      <c r="C204" s="68"/>
      <c r="D204" s="70"/>
      <c r="E204" s="68"/>
      <c r="F204" s="96"/>
      <c r="G204" s="95" t="str">
        <f t="shared" ref="G204:G267" si="3">IF(D204&lt;&gt;"", D204/E204, "")</f>
        <v/>
      </c>
      <c r="H204" s="91" t="str">
        <f>IF(E204&lt;&gt;"",E204/'Project Summary'!$C$9,"")</f>
        <v/>
      </c>
      <c r="I204" s="97" t="str">
        <f>IF(F204&lt;&gt;"",F204/'Project Summary'!$C$10, "")</f>
        <v/>
      </c>
      <c r="J204" s="68"/>
      <c r="K204" s="69"/>
      <c r="L204" s="102"/>
      <c r="M204" s="102"/>
      <c r="N204" s="68"/>
      <c r="O204" s="68"/>
      <c r="P204" s="106"/>
      <c r="Q204" s="107"/>
      <c r="R204" s="107"/>
      <c r="S204" s="107"/>
      <c r="T204" s="107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</row>
    <row r="205" spans="2:36" x14ac:dyDescent="0.25">
      <c r="B205" s="68"/>
      <c r="C205" s="68"/>
      <c r="D205" s="70"/>
      <c r="E205" s="68"/>
      <c r="F205" s="96"/>
      <c r="G205" s="95" t="str">
        <f t="shared" si="3"/>
        <v/>
      </c>
      <c r="H205" s="91" t="str">
        <f>IF(E205&lt;&gt;"",E205/'Project Summary'!$C$9,"")</f>
        <v/>
      </c>
      <c r="I205" s="97" t="str">
        <f>IF(F205&lt;&gt;"",F205/'Project Summary'!$C$10, "")</f>
        <v/>
      </c>
      <c r="J205" s="68"/>
      <c r="K205" s="69"/>
      <c r="L205" s="102"/>
      <c r="M205" s="102"/>
      <c r="N205" s="68"/>
      <c r="O205" s="68"/>
      <c r="P205" s="106"/>
      <c r="Q205" s="107"/>
      <c r="R205" s="107"/>
      <c r="S205" s="107"/>
      <c r="T205" s="107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</row>
    <row r="206" spans="2:36" x14ac:dyDescent="0.25">
      <c r="B206" s="68"/>
      <c r="C206" s="68"/>
      <c r="D206" s="70"/>
      <c r="E206" s="68"/>
      <c r="F206" s="96"/>
      <c r="G206" s="95" t="str">
        <f t="shared" si="3"/>
        <v/>
      </c>
      <c r="H206" s="91" t="str">
        <f>IF(E206&lt;&gt;"",E206/'Project Summary'!$C$9,"")</f>
        <v/>
      </c>
      <c r="I206" s="97" t="str">
        <f>IF(F206&lt;&gt;"",F206/'Project Summary'!$C$10, "")</f>
        <v/>
      </c>
      <c r="J206" s="68"/>
      <c r="K206" s="69"/>
      <c r="L206" s="102"/>
      <c r="M206" s="102"/>
      <c r="N206" s="68"/>
      <c r="O206" s="68"/>
      <c r="P206" s="106"/>
      <c r="Q206" s="107"/>
      <c r="R206" s="107"/>
      <c r="S206" s="107"/>
      <c r="T206" s="107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</row>
    <row r="207" spans="2:36" x14ac:dyDescent="0.25">
      <c r="B207" s="68"/>
      <c r="C207" s="68"/>
      <c r="D207" s="70"/>
      <c r="E207" s="68"/>
      <c r="F207" s="96"/>
      <c r="G207" s="95" t="str">
        <f t="shared" si="3"/>
        <v/>
      </c>
      <c r="H207" s="91" t="str">
        <f>IF(E207&lt;&gt;"",E207/'Project Summary'!$C$9,"")</f>
        <v/>
      </c>
      <c r="I207" s="97" t="str">
        <f>IF(F207&lt;&gt;"",F207/'Project Summary'!$C$10, "")</f>
        <v/>
      </c>
      <c r="J207" s="68"/>
      <c r="K207" s="69"/>
      <c r="L207" s="102"/>
      <c r="M207" s="102"/>
      <c r="N207" s="68"/>
      <c r="O207" s="68"/>
      <c r="P207" s="106"/>
      <c r="Q207" s="107"/>
      <c r="R207" s="107"/>
      <c r="S207" s="107"/>
      <c r="T207" s="107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</row>
    <row r="208" spans="2:36" x14ac:dyDescent="0.25">
      <c r="B208" s="68"/>
      <c r="C208" s="68"/>
      <c r="D208" s="70"/>
      <c r="E208" s="68"/>
      <c r="F208" s="96"/>
      <c r="G208" s="95" t="str">
        <f t="shared" si="3"/>
        <v/>
      </c>
      <c r="H208" s="91" t="str">
        <f>IF(E208&lt;&gt;"",E208/'Project Summary'!$C$9,"")</f>
        <v/>
      </c>
      <c r="I208" s="97" t="str">
        <f>IF(F208&lt;&gt;"",F208/'Project Summary'!$C$10, "")</f>
        <v/>
      </c>
      <c r="J208" s="68"/>
      <c r="K208" s="69"/>
      <c r="L208" s="102"/>
      <c r="M208" s="102"/>
      <c r="N208" s="68"/>
      <c r="O208" s="68"/>
      <c r="P208" s="106"/>
      <c r="Q208" s="107"/>
      <c r="R208" s="107"/>
      <c r="S208" s="107"/>
      <c r="T208" s="107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</row>
    <row r="209" spans="2:36" x14ac:dyDescent="0.25">
      <c r="B209" s="68"/>
      <c r="C209" s="68"/>
      <c r="D209" s="70"/>
      <c r="E209" s="68"/>
      <c r="F209" s="96"/>
      <c r="G209" s="95" t="str">
        <f t="shared" si="3"/>
        <v/>
      </c>
      <c r="H209" s="91" t="str">
        <f>IF(E209&lt;&gt;"",E209/'Project Summary'!$C$9,"")</f>
        <v/>
      </c>
      <c r="I209" s="97" t="str">
        <f>IF(F209&lt;&gt;"",F209/'Project Summary'!$C$10, "")</f>
        <v/>
      </c>
      <c r="J209" s="68"/>
      <c r="K209" s="69"/>
      <c r="L209" s="102"/>
      <c r="M209" s="102"/>
      <c r="N209" s="68"/>
      <c r="O209" s="68"/>
      <c r="P209" s="106"/>
      <c r="Q209" s="107"/>
      <c r="R209" s="107"/>
      <c r="S209" s="107"/>
      <c r="T209" s="107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</row>
    <row r="210" spans="2:36" x14ac:dyDescent="0.25">
      <c r="B210" s="68"/>
      <c r="C210" s="68"/>
      <c r="D210" s="70"/>
      <c r="E210" s="68"/>
      <c r="F210" s="96"/>
      <c r="G210" s="95" t="str">
        <f t="shared" si="3"/>
        <v/>
      </c>
      <c r="H210" s="91" t="str">
        <f>IF(E210&lt;&gt;"",E210/'Project Summary'!$C$9,"")</f>
        <v/>
      </c>
      <c r="I210" s="97" t="str">
        <f>IF(F210&lt;&gt;"",F210/'Project Summary'!$C$10, "")</f>
        <v/>
      </c>
      <c r="J210" s="68"/>
      <c r="K210" s="69"/>
      <c r="L210" s="102"/>
      <c r="M210" s="102"/>
      <c r="N210" s="68"/>
      <c r="O210" s="68"/>
      <c r="P210" s="106"/>
      <c r="Q210" s="107"/>
      <c r="R210" s="107"/>
      <c r="S210" s="107"/>
      <c r="T210" s="107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</row>
    <row r="211" spans="2:36" x14ac:dyDescent="0.25">
      <c r="B211" s="68"/>
      <c r="C211" s="68"/>
      <c r="D211" s="70"/>
      <c r="E211" s="68"/>
      <c r="F211" s="96"/>
      <c r="G211" s="95" t="str">
        <f t="shared" si="3"/>
        <v/>
      </c>
      <c r="H211" s="91" t="str">
        <f>IF(E211&lt;&gt;"",E211/'Project Summary'!$C$9,"")</f>
        <v/>
      </c>
      <c r="I211" s="97" t="str">
        <f>IF(F211&lt;&gt;"",F211/'Project Summary'!$C$10, "")</f>
        <v/>
      </c>
      <c r="J211" s="68"/>
      <c r="K211" s="69"/>
      <c r="L211" s="102"/>
      <c r="M211" s="102"/>
      <c r="N211" s="68"/>
      <c r="O211" s="68"/>
      <c r="P211" s="106"/>
      <c r="Q211" s="107"/>
      <c r="R211" s="107"/>
      <c r="S211" s="107"/>
      <c r="T211" s="107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</row>
    <row r="212" spans="2:36" x14ac:dyDescent="0.25">
      <c r="B212" s="68"/>
      <c r="C212" s="68"/>
      <c r="D212" s="70"/>
      <c r="E212" s="68"/>
      <c r="F212" s="96"/>
      <c r="G212" s="95" t="str">
        <f t="shared" si="3"/>
        <v/>
      </c>
      <c r="H212" s="91" t="str">
        <f>IF(E212&lt;&gt;"",E212/'Project Summary'!$C$9,"")</f>
        <v/>
      </c>
      <c r="I212" s="97" t="str">
        <f>IF(F212&lt;&gt;"",F212/'Project Summary'!$C$10, "")</f>
        <v/>
      </c>
      <c r="J212" s="68"/>
      <c r="K212" s="69"/>
      <c r="L212" s="102"/>
      <c r="M212" s="102"/>
      <c r="N212" s="68"/>
      <c r="O212" s="68"/>
      <c r="P212" s="106"/>
      <c r="Q212" s="107"/>
      <c r="R212" s="107"/>
      <c r="S212" s="107"/>
      <c r="T212" s="107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</row>
    <row r="213" spans="2:36" x14ac:dyDescent="0.25">
      <c r="B213" s="68"/>
      <c r="C213" s="68"/>
      <c r="D213" s="70"/>
      <c r="E213" s="68"/>
      <c r="F213" s="96"/>
      <c r="G213" s="95" t="str">
        <f t="shared" si="3"/>
        <v/>
      </c>
      <c r="H213" s="91" t="str">
        <f>IF(E213&lt;&gt;"",E213/'Project Summary'!$C$9,"")</f>
        <v/>
      </c>
      <c r="I213" s="97" t="str">
        <f>IF(F213&lt;&gt;"",F213/'Project Summary'!$C$10, "")</f>
        <v/>
      </c>
      <c r="J213" s="68"/>
      <c r="K213" s="69"/>
      <c r="L213" s="102"/>
      <c r="M213" s="102"/>
      <c r="N213" s="68"/>
      <c r="O213" s="68"/>
      <c r="P213" s="106"/>
      <c r="Q213" s="107"/>
      <c r="R213" s="107"/>
      <c r="S213" s="107"/>
      <c r="T213" s="107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</row>
    <row r="214" spans="2:36" x14ac:dyDescent="0.25">
      <c r="B214" s="68"/>
      <c r="C214" s="68"/>
      <c r="D214" s="70"/>
      <c r="E214" s="68"/>
      <c r="F214" s="96"/>
      <c r="G214" s="95" t="str">
        <f t="shared" si="3"/>
        <v/>
      </c>
      <c r="H214" s="91" t="str">
        <f>IF(E214&lt;&gt;"",E214/'Project Summary'!$C$9,"")</f>
        <v/>
      </c>
      <c r="I214" s="97" t="str">
        <f>IF(F214&lt;&gt;"",F214/'Project Summary'!$C$10, "")</f>
        <v/>
      </c>
      <c r="J214" s="68"/>
      <c r="K214" s="69"/>
      <c r="L214" s="102"/>
      <c r="M214" s="102"/>
      <c r="N214" s="68"/>
      <c r="O214" s="68"/>
      <c r="P214" s="106"/>
      <c r="Q214" s="107"/>
      <c r="R214" s="107"/>
      <c r="S214" s="107"/>
      <c r="T214" s="107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</row>
    <row r="215" spans="2:36" x14ac:dyDescent="0.25">
      <c r="B215" s="68"/>
      <c r="C215" s="68"/>
      <c r="D215" s="70"/>
      <c r="E215" s="68"/>
      <c r="F215" s="96"/>
      <c r="G215" s="95" t="str">
        <f t="shared" si="3"/>
        <v/>
      </c>
      <c r="H215" s="91" t="str">
        <f>IF(E215&lt;&gt;"",E215/'Project Summary'!$C$9,"")</f>
        <v/>
      </c>
      <c r="I215" s="97" t="str">
        <f>IF(F215&lt;&gt;"",F215/'Project Summary'!$C$10, "")</f>
        <v/>
      </c>
      <c r="J215" s="68"/>
      <c r="K215" s="69"/>
      <c r="L215" s="102"/>
      <c r="M215" s="102"/>
      <c r="N215" s="68"/>
      <c r="O215" s="68"/>
      <c r="P215" s="106"/>
      <c r="Q215" s="107"/>
      <c r="R215" s="107"/>
      <c r="S215" s="107"/>
      <c r="T215" s="107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</row>
    <row r="216" spans="2:36" x14ac:dyDescent="0.25">
      <c r="B216" s="68"/>
      <c r="C216" s="68"/>
      <c r="D216" s="70"/>
      <c r="E216" s="68"/>
      <c r="F216" s="96"/>
      <c r="G216" s="95" t="str">
        <f t="shared" si="3"/>
        <v/>
      </c>
      <c r="H216" s="91" t="str">
        <f>IF(E216&lt;&gt;"",E216/'Project Summary'!$C$9,"")</f>
        <v/>
      </c>
      <c r="I216" s="97" t="str">
        <f>IF(F216&lt;&gt;"",F216/'Project Summary'!$C$10, "")</f>
        <v/>
      </c>
      <c r="J216" s="68"/>
      <c r="K216" s="69"/>
      <c r="L216" s="102"/>
      <c r="M216" s="102"/>
      <c r="N216" s="68"/>
      <c r="O216" s="68"/>
      <c r="P216" s="106"/>
      <c r="Q216" s="107"/>
      <c r="R216" s="107"/>
      <c r="S216" s="107"/>
      <c r="T216" s="107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</row>
    <row r="217" spans="2:36" x14ac:dyDescent="0.25">
      <c r="B217" s="68"/>
      <c r="C217" s="68"/>
      <c r="D217" s="70"/>
      <c r="E217" s="68"/>
      <c r="F217" s="96"/>
      <c r="G217" s="95" t="str">
        <f t="shared" si="3"/>
        <v/>
      </c>
      <c r="H217" s="91" t="str">
        <f>IF(E217&lt;&gt;"",E217/'Project Summary'!$C$9,"")</f>
        <v/>
      </c>
      <c r="I217" s="97" t="str">
        <f>IF(F217&lt;&gt;"",F217/'Project Summary'!$C$10, "")</f>
        <v/>
      </c>
      <c r="J217" s="68"/>
      <c r="K217" s="69"/>
      <c r="L217" s="102"/>
      <c r="M217" s="102"/>
      <c r="N217" s="68"/>
      <c r="O217" s="68"/>
      <c r="P217" s="106"/>
      <c r="Q217" s="107"/>
      <c r="R217" s="107"/>
      <c r="S217" s="107"/>
      <c r="T217" s="107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</row>
    <row r="218" spans="2:36" x14ac:dyDescent="0.25">
      <c r="B218" s="68"/>
      <c r="C218" s="68"/>
      <c r="D218" s="70"/>
      <c r="E218" s="68"/>
      <c r="F218" s="96"/>
      <c r="G218" s="95" t="str">
        <f t="shared" si="3"/>
        <v/>
      </c>
      <c r="H218" s="91" t="str">
        <f>IF(E218&lt;&gt;"",E218/'Project Summary'!$C$9,"")</f>
        <v/>
      </c>
      <c r="I218" s="97" t="str">
        <f>IF(F218&lt;&gt;"",F218/'Project Summary'!$C$10, "")</f>
        <v/>
      </c>
      <c r="J218" s="68"/>
      <c r="K218" s="69"/>
      <c r="L218" s="102"/>
      <c r="M218" s="102"/>
      <c r="N218" s="68"/>
      <c r="O218" s="68"/>
      <c r="P218" s="106"/>
      <c r="Q218" s="107"/>
      <c r="R218" s="107"/>
      <c r="S218" s="107"/>
      <c r="T218" s="107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</row>
    <row r="219" spans="2:36" x14ac:dyDescent="0.25">
      <c r="B219" s="68"/>
      <c r="C219" s="68"/>
      <c r="D219" s="70"/>
      <c r="E219" s="68"/>
      <c r="F219" s="96"/>
      <c r="G219" s="95" t="str">
        <f t="shared" si="3"/>
        <v/>
      </c>
      <c r="H219" s="91" t="str">
        <f>IF(E219&lt;&gt;"",E219/'Project Summary'!$C$9,"")</f>
        <v/>
      </c>
      <c r="I219" s="97" t="str">
        <f>IF(F219&lt;&gt;"",F219/'Project Summary'!$C$10, "")</f>
        <v/>
      </c>
      <c r="J219" s="68"/>
      <c r="K219" s="69"/>
      <c r="L219" s="102"/>
      <c r="M219" s="102"/>
      <c r="N219" s="68"/>
      <c r="O219" s="68"/>
      <c r="P219" s="106"/>
      <c r="Q219" s="107"/>
      <c r="R219" s="107"/>
      <c r="S219" s="107"/>
      <c r="T219" s="107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</row>
    <row r="220" spans="2:36" x14ac:dyDescent="0.25">
      <c r="B220" s="68"/>
      <c r="C220" s="68"/>
      <c r="D220" s="70"/>
      <c r="E220" s="68"/>
      <c r="F220" s="96"/>
      <c r="G220" s="95" t="str">
        <f t="shared" si="3"/>
        <v/>
      </c>
      <c r="H220" s="91" t="str">
        <f>IF(E220&lt;&gt;"",E220/'Project Summary'!$C$9,"")</f>
        <v/>
      </c>
      <c r="I220" s="97" t="str">
        <f>IF(F220&lt;&gt;"",F220/'Project Summary'!$C$10, "")</f>
        <v/>
      </c>
      <c r="J220" s="68"/>
      <c r="K220" s="69"/>
      <c r="L220" s="102"/>
      <c r="M220" s="102"/>
      <c r="N220" s="68"/>
      <c r="O220" s="68"/>
      <c r="P220" s="106"/>
      <c r="Q220" s="107"/>
      <c r="R220" s="107"/>
      <c r="S220" s="107"/>
      <c r="T220" s="107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</row>
    <row r="221" spans="2:36" x14ac:dyDescent="0.25">
      <c r="B221" s="68"/>
      <c r="C221" s="68"/>
      <c r="D221" s="70"/>
      <c r="E221" s="68"/>
      <c r="F221" s="96"/>
      <c r="G221" s="95" t="str">
        <f t="shared" si="3"/>
        <v/>
      </c>
      <c r="H221" s="91" t="str">
        <f>IF(E221&lt;&gt;"",E221/'Project Summary'!$C$9,"")</f>
        <v/>
      </c>
      <c r="I221" s="97" t="str">
        <f>IF(F221&lt;&gt;"",F221/'Project Summary'!$C$10, "")</f>
        <v/>
      </c>
      <c r="J221" s="68"/>
      <c r="K221" s="69"/>
      <c r="L221" s="102"/>
      <c r="M221" s="102"/>
      <c r="N221" s="68"/>
      <c r="O221" s="68"/>
      <c r="P221" s="106"/>
      <c r="Q221" s="107"/>
      <c r="R221" s="107"/>
      <c r="S221" s="107"/>
      <c r="T221" s="107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</row>
    <row r="222" spans="2:36" x14ac:dyDescent="0.25">
      <c r="B222" s="68"/>
      <c r="C222" s="68"/>
      <c r="D222" s="70"/>
      <c r="E222" s="68"/>
      <c r="F222" s="96"/>
      <c r="G222" s="95" t="str">
        <f t="shared" si="3"/>
        <v/>
      </c>
      <c r="H222" s="91" t="str">
        <f>IF(E222&lt;&gt;"",E222/'Project Summary'!$C$9,"")</f>
        <v/>
      </c>
      <c r="I222" s="97" t="str">
        <f>IF(F222&lt;&gt;"",F222/'Project Summary'!$C$10, "")</f>
        <v/>
      </c>
      <c r="J222" s="68"/>
      <c r="K222" s="69"/>
      <c r="L222" s="102"/>
      <c r="M222" s="102"/>
      <c r="N222" s="68"/>
      <c r="O222" s="68"/>
      <c r="P222" s="106"/>
      <c r="Q222" s="107"/>
      <c r="R222" s="107"/>
      <c r="S222" s="107"/>
      <c r="T222" s="107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</row>
    <row r="223" spans="2:36" x14ac:dyDescent="0.25">
      <c r="B223" s="68"/>
      <c r="C223" s="68"/>
      <c r="D223" s="70"/>
      <c r="E223" s="68"/>
      <c r="F223" s="96"/>
      <c r="G223" s="95" t="str">
        <f t="shared" si="3"/>
        <v/>
      </c>
      <c r="H223" s="91" t="str">
        <f>IF(E223&lt;&gt;"",E223/'Project Summary'!$C$9,"")</f>
        <v/>
      </c>
      <c r="I223" s="97" t="str">
        <f>IF(F223&lt;&gt;"",F223/'Project Summary'!$C$10, "")</f>
        <v/>
      </c>
      <c r="J223" s="68"/>
      <c r="K223" s="69"/>
      <c r="L223" s="102"/>
      <c r="M223" s="102"/>
      <c r="N223" s="68"/>
      <c r="O223" s="68"/>
      <c r="P223" s="106"/>
      <c r="Q223" s="107"/>
      <c r="R223" s="107"/>
      <c r="S223" s="107"/>
      <c r="T223" s="107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</row>
    <row r="224" spans="2:36" x14ac:dyDescent="0.25">
      <c r="B224" s="68"/>
      <c r="C224" s="68"/>
      <c r="D224" s="70"/>
      <c r="E224" s="68"/>
      <c r="F224" s="96"/>
      <c r="G224" s="95" t="str">
        <f t="shared" si="3"/>
        <v/>
      </c>
      <c r="H224" s="91" t="str">
        <f>IF(E224&lt;&gt;"",E224/'Project Summary'!$C$9,"")</f>
        <v/>
      </c>
      <c r="I224" s="97" t="str">
        <f>IF(F224&lt;&gt;"",F224/'Project Summary'!$C$10, "")</f>
        <v/>
      </c>
      <c r="J224" s="68"/>
      <c r="K224" s="69"/>
      <c r="L224" s="102"/>
      <c r="M224" s="102"/>
      <c r="N224" s="68"/>
      <c r="O224" s="68"/>
      <c r="P224" s="106"/>
      <c r="Q224" s="107"/>
      <c r="R224" s="107"/>
      <c r="S224" s="107"/>
      <c r="T224" s="107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</row>
    <row r="225" spans="2:36" x14ac:dyDescent="0.25">
      <c r="B225" s="68"/>
      <c r="C225" s="68"/>
      <c r="D225" s="70"/>
      <c r="E225" s="68"/>
      <c r="F225" s="96"/>
      <c r="G225" s="95" t="str">
        <f t="shared" si="3"/>
        <v/>
      </c>
      <c r="H225" s="91" t="str">
        <f>IF(E225&lt;&gt;"",E225/'Project Summary'!$C$9,"")</f>
        <v/>
      </c>
      <c r="I225" s="97" t="str">
        <f>IF(F225&lt;&gt;"",F225/'Project Summary'!$C$10, "")</f>
        <v/>
      </c>
      <c r="J225" s="68"/>
      <c r="K225" s="69"/>
      <c r="L225" s="102"/>
      <c r="M225" s="102"/>
      <c r="N225" s="68"/>
      <c r="O225" s="68"/>
      <c r="P225" s="106"/>
      <c r="Q225" s="107"/>
      <c r="R225" s="107"/>
      <c r="S225" s="107"/>
      <c r="T225" s="107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</row>
    <row r="226" spans="2:36" x14ac:dyDescent="0.25">
      <c r="B226" s="68"/>
      <c r="C226" s="68"/>
      <c r="D226" s="70"/>
      <c r="E226" s="68"/>
      <c r="F226" s="96"/>
      <c r="G226" s="95" t="str">
        <f t="shared" si="3"/>
        <v/>
      </c>
      <c r="H226" s="91" t="str">
        <f>IF(E226&lt;&gt;"",E226/'Project Summary'!$C$9,"")</f>
        <v/>
      </c>
      <c r="I226" s="97" t="str">
        <f>IF(F226&lt;&gt;"",F226/'Project Summary'!$C$10, "")</f>
        <v/>
      </c>
      <c r="J226" s="68"/>
      <c r="K226" s="69"/>
      <c r="L226" s="102"/>
      <c r="M226" s="102"/>
      <c r="N226" s="68"/>
      <c r="O226" s="68"/>
      <c r="P226" s="106"/>
      <c r="Q226" s="107"/>
      <c r="R226" s="107"/>
      <c r="S226" s="107"/>
      <c r="T226" s="107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</row>
    <row r="227" spans="2:36" x14ac:dyDescent="0.25">
      <c r="B227" s="68"/>
      <c r="C227" s="68"/>
      <c r="D227" s="70"/>
      <c r="E227" s="68"/>
      <c r="F227" s="96"/>
      <c r="G227" s="95" t="str">
        <f t="shared" si="3"/>
        <v/>
      </c>
      <c r="H227" s="91" t="str">
        <f>IF(E227&lt;&gt;"",E227/'Project Summary'!$C$9,"")</f>
        <v/>
      </c>
      <c r="I227" s="97" t="str">
        <f>IF(F227&lt;&gt;"",F227/'Project Summary'!$C$10, "")</f>
        <v/>
      </c>
      <c r="J227" s="68"/>
      <c r="K227" s="69"/>
      <c r="L227" s="102"/>
      <c r="M227" s="102"/>
      <c r="N227" s="68"/>
      <c r="O227" s="68"/>
      <c r="P227" s="106"/>
      <c r="Q227" s="107"/>
      <c r="R227" s="107"/>
      <c r="S227" s="107"/>
      <c r="T227" s="107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</row>
    <row r="228" spans="2:36" x14ac:dyDescent="0.25">
      <c r="B228" s="68"/>
      <c r="C228" s="68"/>
      <c r="D228" s="70"/>
      <c r="E228" s="68"/>
      <c r="F228" s="96"/>
      <c r="G228" s="95" t="str">
        <f t="shared" si="3"/>
        <v/>
      </c>
      <c r="H228" s="91" t="str">
        <f>IF(E228&lt;&gt;"",E228/'Project Summary'!$C$9,"")</f>
        <v/>
      </c>
      <c r="I228" s="97" t="str">
        <f>IF(F228&lt;&gt;"",F228/'Project Summary'!$C$10, "")</f>
        <v/>
      </c>
      <c r="J228" s="68"/>
      <c r="K228" s="69"/>
      <c r="L228" s="102"/>
      <c r="M228" s="102"/>
      <c r="N228" s="68"/>
      <c r="O228" s="68"/>
      <c r="P228" s="106"/>
      <c r="Q228" s="107"/>
      <c r="R228" s="107"/>
      <c r="S228" s="107"/>
      <c r="T228" s="107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</row>
    <row r="229" spans="2:36" x14ac:dyDescent="0.25">
      <c r="B229" s="68"/>
      <c r="C229" s="68"/>
      <c r="D229" s="70"/>
      <c r="E229" s="68"/>
      <c r="F229" s="96"/>
      <c r="G229" s="95" t="str">
        <f t="shared" si="3"/>
        <v/>
      </c>
      <c r="H229" s="91" t="str">
        <f>IF(E229&lt;&gt;"",E229/'Project Summary'!$C$9,"")</f>
        <v/>
      </c>
      <c r="I229" s="97" t="str">
        <f>IF(F229&lt;&gt;"",F229/'Project Summary'!$C$10, "")</f>
        <v/>
      </c>
      <c r="J229" s="68"/>
      <c r="K229" s="69"/>
      <c r="L229" s="102"/>
      <c r="M229" s="102"/>
      <c r="N229" s="68"/>
      <c r="O229" s="68"/>
      <c r="P229" s="106"/>
      <c r="Q229" s="107"/>
      <c r="R229" s="107"/>
      <c r="S229" s="107"/>
      <c r="T229" s="107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</row>
    <row r="230" spans="2:36" x14ac:dyDescent="0.25">
      <c r="B230" s="68"/>
      <c r="C230" s="68"/>
      <c r="D230" s="70"/>
      <c r="E230" s="68"/>
      <c r="F230" s="96"/>
      <c r="G230" s="95" t="str">
        <f t="shared" si="3"/>
        <v/>
      </c>
      <c r="H230" s="91" t="str">
        <f>IF(E230&lt;&gt;"",E230/'Project Summary'!$C$9,"")</f>
        <v/>
      </c>
      <c r="I230" s="97" t="str">
        <f>IF(F230&lt;&gt;"",F230/'Project Summary'!$C$10, "")</f>
        <v/>
      </c>
      <c r="J230" s="68"/>
      <c r="K230" s="69"/>
      <c r="L230" s="102"/>
      <c r="M230" s="102"/>
      <c r="N230" s="68"/>
      <c r="O230" s="68"/>
      <c r="P230" s="106"/>
      <c r="Q230" s="107"/>
      <c r="R230" s="107"/>
      <c r="S230" s="107"/>
      <c r="T230" s="107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</row>
    <row r="231" spans="2:36" x14ac:dyDescent="0.25">
      <c r="B231" s="68"/>
      <c r="C231" s="68"/>
      <c r="D231" s="70"/>
      <c r="E231" s="68"/>
      <c r="F231" s="96"/>
      <c r="G231" s="95" t="str">
        <f t="shared" si="3"/>
        <v/>
      </c>
      <c r="H231" s="91" t="str">
        <f>IF(E231&lt;&gt;"",E231/'Project Summary'!$C$9,"")</f>
        <v/>
      </c>
      <c r="I231" s="97" t="str">
        <f>IF(F231&lt;&gt;"",F231/'Project Summary'!$C$10, "")</f>
        <v/>
      </c>
      <c r="J231" s="68"/>
      <c r="K231" s="69"/>
      <c r="L231" s="102"/>
      <c r="M231" s="102"/>
      <c r="N231" s="68"/>
      <c r="O231" s="68"/>
      <c r="P231" s="106"/>
      <c r="Q231" s="107"/>
      <c r="R231" s="107"/>
      <c r="S231" s="107"/>
      <c r="T231" s="107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</row>
    <row r="232" spans="2:36" x14ac:dyDescent="0.25">
      <c r="B232" s="68"/>
      <c r="C232" s="68"/>
      <c r="D232" s="70"/>
      <c r="E232" s="68"/>
      <c r="F232" s="96"/>
      <c r="G232" s="95" t="str">
        <f t="shared" si="3"/>
        <v/>
      </c>
      <c r="H232" s="91" t="str">
        <f>IF(E232&lt;&gt;"",E232/'Project Summary'!$C$9,"")</f>
        <v/>
      </c>
      <c r="I232" s="97" t="str">
        <f>IF(F232&lt;&gt;"",F232/'Project Summary'!$C$10, "")</f>
        <v/>
      </c>
      <c r="J232" s="68"/>
      <c r="K232" s="69"/>
      <c r="L232" s="102"/>
      <c r="M232" s="102"/>
      <c r="N232" s="68"/>
      <c r="O232" s="68"/>
      <c r="P232" s="106"/>
      <c r="Q232" s="107"/>
      <c r="R232" s="107"/>
      <c r="S232" s="107"/>
      <c r="T232" s="107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</row>
    <row r="233" spans="2:36" x14ac:dyDescent="0.25">
      <c r="B233" s="68"/>
      <c r="C233" s="68"/>
      <c r="D233" s="70"/>
      <c r="E233" s="68"/>
      <c r="F233" s="96"/>
      <c r="G233" s="95" t="str">
        <f t="shared" si="3"/>
        <v/>
      </c>
      <c r="H233" s="91" t="str">
        <f>IF(E233&lt;&gt;"",E233/'Project Summary'!$C$9,"")</f>
        <v/>
      </c>
      <c r="I233" s="97" t="str">
        <f>IF(F233&lt;&gt;"",F233/'Project Summary'!$C$10, "")</f>
        <v/>
      </c>
      <c r="J233" s="68"/>
      <c r="K233" s="69"/>
      <c r="L233" s="102"/>
      <c r="M233" s="102"/>
      <c r="N233" s="68"/>
      <c r="O233" s="68"/>
      <c r="P233" s="106"/>
      <c r="Q233" s="107"/>
      <c r="R233" s="107"/>
      <c r="S233" s="107"/>
      <c r="T233" s="107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</row>
    <row r="234" spans="2:36" x14ac:dyDescent="0.25">
      <c r="B234" s="68"/>
      <c r="C234" s="68"/>
      <c r="D234" s="70"/>
      <c r="E234" s="68"/>
      <c r="F234" s="96"/>
      <c r="G234" s="95" t="str">
        <f t="shared" si="3"/>
        <v/>
      </c>
      <c r="H234" s="91" t="str">
        <f>IF(E234&lt;&gt;"",E234/'Project Summary'!$C$9,"")</f>
        <v/>
      </c>
      <c r="I234" s="97" t="str">
        <f>IF(F234&lt;&gt;"",F234/'Project Summary'!$C$10, "")</f>
        <v/>
      </c>
      <c r="J234" s="68"/>
      <c r="K234" s="69"/>
      <c r="L234" s="102"/>
      <c r="M234" s="102"/>
      <c r="N234" s="68"/>
      <c r="O234" s="68"/>
      <c r="P234" s="106"/>
      <c r="Q234" s="107"/>
      <c r="R234" s="107"/>
      <c r="S234" s="107"/>
      <c r="T234" s="107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</row>
    <row r="235" spans="2:36" x14ac:dyDescent="0.25">
      <c r="B235" s="68"/>
      <c r="C235" s="68"/>
      <c r="D235" s="70"/>
      <c r="E235" s="68"/>
      <c r="F235" s="96"/>
      <c r="G235" s="95" t="str">
        <f t="shared" si="3"/>
        <v/>
      </c>
      <c r="H235" s="91" t="str">
        <f>IF(E235&lt;&gt;"",E235/'Project Summary'!$C$9,"")</f>
        <v/>
      </c>
      <c r="I235" s="97" t="str">
        <f>IF(F235&lt;&gt;"",F235/'Project Summary'!$C$10, "")</f>
        <v/>
      </c>
      <c r="J235" s="68"/>
      <c r="K235" s="69"/>
      <c r="L235" s="102"/>
      <c r="M235" s="102"/>
      <c r="N235" s="68"/>
      <c r="O235" s="68"/>
      <c r="P235" s="106"/>
      <c r="Q235" s="107"/>
      <c r="R235" s="107"/>
      <c r="S235" s="107"/>
      <c r="T235" s="107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</row>
    <row r="236" spans="2:36" x14ac:dyDescent="0.25">
      <c r="B236" s="68"/>
      <c r="C236" s="68"/>
      <c r="D236" s="70"/>
      <c r="E236" s="68"/>
      <c r="F236" s="96"/>
      <c r="G236" s="95" t="str">
        <f t="shared" si="3"/>
        <v/>
      </c>
      <c r="H236" s="91" t="str">
        <f>IF(E236&lt;&gt;"",E236/'Project Summary'!$C$9,"")</f>
        <v/>
      </c>
      <c r="I236" s="97" t="str">
        <f>IF(F236&lt;&gt;"",F236/'Project Summary'!$C$10, "")</f>
        <v/>
      </c>
      <c r="J236" s="68"/>
      <c r="K236" s="69"/>
      <c r="L236" s="102"/>
      <c r="M236" s="102"/>
      <c r="N236" s="68"/>
      <c r="O236" s="68"/>
      <c r="P236" s="106"/>
      <c r="Q236" s="107"/>
      <c r="R236" s="107"/>
      <c r="S236" s="107"/>
      <c r="T236" s="107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</row>
    <row r="237" spans="2:36" x14ac:dyDescent="0.25">
      <c r="B237" s="68"/>
      <c r="C237" s="68"/>
      <c r="D237" s="70"/>
      <c r="E237" s="68"/>
      <c r="F237" s="96"/>
      <c r="G237" s="95" t="str">
        <f t="shared" si="3"/>
        <v/>
      </c>
      <c r="H237" s="91" t="str">
        <f>IF(E237&lt;&gt;"",E237/'Project Summary'!$C$9,"")</f>
        <v/>
      </c>
      <c r="I237" s="97" t="str">
        <f>IF(F237&lt;&gt;"",F237/'Project Summary'!$C$10, "")</f>
        <v/>
      </c>
      <c r="J237" s="68"/>
      <c r="K237" s="69"/>
      <c r="L237" s="102"/>
      <c r="M237" s="102"/>
      <c r="N237" s="68"/>
      <c r="O237" s="68"/>
      <c r="P237" s="106"/>
      <c r="Q237" s="107"/>
      <c r="R237" s="107"/>
      <c r="S237" s="107"/>
      <c r="T237" s="107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</row>
    <row r="238" spans="2:36" x14ac:dyDescent="0.25">
      <c r="B238" s="68"/>
      <c r="C238" s="68"/>
      <c r="D238" s="70"/>
      <c r="E238" s="68"/>
      <c r="F238" s="96"/>
      <c r="G238" s="95" t="str">
        <f t="shared" si="3"/>
        <v/>
      </c>
      <c r="H238" s="91" t="str">
        <f>IF(E238&lt;&gt;"",E238/'Project Summary'!$C$9,"")</f>
        <v/>
      </c>
      <c r="I238" s="97" t="str">
        <f>IF(F238&lt;&gt;"",F238/'Project Summary'!$C$10, "")</f>
        <v/>
      </c>
      <c r="J238" s="68"/>
      <c r="K238" s="69"/>
      <c r="L238" s="102"/>
      <c r="M238" s="102"/>
      <c r="N238" s="68"/>
      <c r="O238" s="68"/>
      <c r="P238" s="106"/>
      <c r="Q238" s="107"/>
      <c r="R238" s="107"/>
      <c r="S238" s="107"/>
      <c r="T238" s="107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</row>
    <row r="239" spans="2:36" x14ac:dyDescent="0.25">
      <c r="B239" s="68"/>
      <c r="C239" s="68"/>
      <c r="D239" s="70"/>
      <c r="E239" s="68"/>
      <c r="F239" s="96"/>
      <c r="G239" s="95" t="str">
        <f t="shared" si="3"/>
        <v/>
      </c>
      <c r="H239" s="91" t="str">
        <f>IF(E239&lt;&gt;"",E239/'Project Summary'!$C$9,"")</f>
        <v/>
      </c>
      <c r="I239" s="97" t="str">
        <f>IF(F239&lt;&gt;"",F239/'Project Summary'!$C$10, "")</f>
        <v/>
      </c>
      <c r="J239" s="68"/>
      <c r="K239" s="69"/>
      <c r="L239" s="102"/>
      <c r="M239" s="102"/>
      <c r="N239" s="68"/>
      <c r="O239" s="68"/>
      <c r="P239" s="106"/>
      <c r="Q239" s="107"/>
      <c r="R239" s="107"/>
      <c r="S239" s="107"/>
      <c r="T239" s="107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</row>
    <row r="240" spans="2:36" x14ac:dyDescent="0.25">
      <c r="B240" s="68"/>
      <c r="C240" s="68"/>
      <c r="D240" s="70"/>
      <c r="E240" s="68"/>
      <c r="F240" s="96"/>
      <c r="G240" s="95" t="str">
        <f t="shared" si="3"/>
        <v/>
      </c>
      <c r="H240" s="91" t="str">
        <f>IF(E240&lt;&gt;"",E240/'Project Summary'!$C$9,"")</f>
        <v/>
      </c>
      <c r="I240" s="97" t="str">
        <f>IF(F240&lt;&gt;"",F240/'Project Summary'!$C$10, "")</f>
        <v/>
      </c>
      <c r="J240" s="68"/>
      <c r="K240" s="69"/>
      <c r="L240" s="102"/>
      <c r="M240" s="102"/>
      <c r="N240" s="68"/>
      <c r="O240" s="68"/>
      <c r="P240" s="106"/>
      <c r="Q240" s="107"/>
      <c r="R240" s="107"/>
      <c r="S240" s="107"/>
      <c r="T240" s="107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</row>
    <row r="241" spans="2:36" x14ac:dyDescent="0.25">
      <c r="B241" s="68"/>
      <c r="C241" s="68"/>
      <c r="D241" s="70"/>
      <c r="E241" s="68"/>
      <c r="F241" s="96"/>
      <c r="G241" s="95" t="str">
        <f t="shared" si="3"/>
        <v/>
      </c>
      <c r="H241" s="91" t="str">
        <f>IF(E241&lt;&gt;"",E241/'Project Summary'!$C$9,"")</f>
        <v/>
      </c>
      <c r="I241" s="97" t="str">
        <f>IF(F241&lt;&gt;"",F241/'Project Summary'!$C$10, "")</f>
        <v/>
      </c>
      <c r="J241" s="68"/>
      <c r="K241" s="69"/>
      <c r="L241" s="102"/>
      <c r="M241" s="102"/>
      <c r="N241" s="68"/>
      <c r="O241" s="68"/>
      <c r="P241" s="106"/>
      <c r="Q241" s="107"/>
      <c r="R241" s="107"/>
      <c r="S241" s="107"/>
      <c r="T241" s="107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</row>
    <row r="242" spans="2:36" x14ac:dyDescent="0.25">
      <c r="B242" s="68"/>
      <c r="C242" s="68"/>
      <c r="D242" s="70"/>
      <c r="E242" s="68"/>
      <c r="F242" s="96"/>
      <c r="G242" s="95" t="str">
        <f t="shared" si="3"/>
        <v/>
      </c>
      <c r="H242" s="91" t="str">
        <f>IF(E242&lt;&gt;"",E242/'Project Summary'!$C$9,"")</f>
        <v/>
      </c>
      <c r="I242" s="97" t="str">
        <f>IF(F242&lt;&gt;"",F242/'Project Summary'!$C$10, "")</f>
        <v/>
      </c>
      <c r="J242" s="68"/>
      <c r="K242" s="69"/>
      <c r="L242" s="102"/>
      <c r="M242" s="102"/>
      <c r="N242" s="68"/>
      <c r="O242" s="68"/>
      <c r="P242" s="106"/>
      <c r="Q242" s="107"/>
      <c r="R242" s="107"/>
      <c r="S242" s="107"/>
      <c r="T242" s="107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</row>
    <row r="243" spans="2:36" x14ac:dyDescent="0.25">
      <c r="B243" s="68"/>
      <c r="C243" s="68"/>
      <c r="D243" s="70"/>
      <c r="E243" s="68"/>
      <c r="F243" s="96"/>
      <c r="G243" s="95" t="str">
        <f t="shared" si="3"/>
        <v/>
      </c>
      <c r="H243" s="91" t="str">
        <f>IF(E243&lt;&gt;"",E243/'Project Summary'!$C$9,"")</f>
        <v/>
      </c>
      <c r="I243" s="97" t="str">
        <f>IF(F243&lt;&gt;"",F243/'Project Summary'!$C$10, "")</f>
        <v/>
      </c>
      <c r="J243" s="68"/>
      <c r="K243" s="69"/>
      <c r="L243" s="102"/>
      <c r="M243" s="102"/>
      <c r="N243" s="68"/>
      <c r="O243" s="68"/>
      <c r="P243" s="106"/>
      <c r="Q243" s="107"/>
      <c r="R243" s="107"/>
      <c r="S243" s="107"/>
      <c r="T243" s="107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</row>
    <row r="244" spans="2:36" x14ac:dyDescent="0.25">
      <c r="B244" s="68"/>
      <c r="C244" s="68"/>
      <c r="D244" s="70"/>
      <c r="E244" s="68"/>
      <c r="F244" s="96"/>
      <c r="G244" s="95" t="str">
        <f t="shared" si="3"/>
        <v/>
      </c>
      <c r="H244" s="91" t="str">
        <f>IF(E244&lt;&gt;"",E244/'Project Summary'!$C$9,"")</f>
        <v/>
      </c>
      <c r="I244" s="97" t="str">
        <f>IF(F244&lt;&gt;"",F244/'Project Summary'!$C$10, "")</f>
        <v/>
      </c>
      <c r="J244" s="68"/>
      <c r="K244" s="69"/>
      <c r="L244" s="102"/>
      <c r="M244" s="102"/>
      <c r="N244" s="68"/>
      <c r="O244" s="68"/>
      <c r="P244" s="106"/>
      <c r="Q244" s="107"/>
      <c r="R244" s="107"/>
      <c r="S244" s="107"/>
      <c r="T244" s="107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</row>
    <row r="245" spans="2:36" x14ac:dyDescent="0.25">
      <c r="B245" s="68"/>
      <c r="C245" s="68"/>
      <c r="D245" s="70"/>
      <c r="E245" s="68"/>
      <c r="F245" s="96"/>
      <c r="G245" s="95" t="str">
        <f t="shared" si="3"/>
        <v/>
      </c>
      <c r="H245" s="91" t="str">
        <f>IF(E245&lt;&gt;"",E245/'Project Summary'!$C$9,"")</f>
        <v/>
      </c>
      <c r="I245" s="97" t="str">
        <f>IF(F245&lt;&gt;"",F245/'Project Summary'!$C$10, "")</f>
        <v/>
      </c>
      <c r="J245" s="68"/>
      <c r="K245" s="69"/>
      <c r="L245" s="102"/>
      <c r="M245" s="102"/>
      <c r="N245" s="68"/>
      <c r="O245" s="68"/>
      <c r="P245" s="106"/>
      <c r="Q245" s="107"/>
      <c r="R245" s="107"/>
      <c r="S245" s="107"/>
      <c r="T245" s="107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</row>
    <row r="246" spans="2:36" x14ac:dyDescent="0.25">
      <c r="B246" s="68"/>
      <c r="C246" s="68"/>
      <c r="D246" s="70"/>
      <c r="E246" s="68"/>
      <c r="F246" s="96"/>
      <c r="G246" s="95" t="str">
        <f t="shared" si="3"/>
        <v/>
      </c>
      <c r="H246" s="91" t="str">
        <f>IF(E246&lt;&gt;"",E246/'Project Summary'!$C$9,"")</f>
        <v/>
      </c>
      <c r="I246" s="97" t="str">
        <f>IF(F246&lt;&gt;"",F246/'Project Summary'!$C$10, "")</f>
        <v/>
      </c>
      <c r="J246" s="68"/>
      <c r="K246" s="69"/>
      <c r="L246" s="102"/>
      <c r="M246" s="102"/>
      <c r="N246" s="68"/>
      <c r="O246" s="68"/>
      <c r="P246" s="106"/>
      <c r="Q246" s="107"/>
      <c r="R246" s="107"/>
      <c r="S246" s="107"/>
      <c r="T246" s="107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</row>
    <row r="247" spans="2:36" x14ac:dyDescent="0.25">
      <c r="B247" s="68"/>
      <c r="C247" s="68"/>
      <c r="D247" s="70"/>
      <c r="E247" s="68"/>
      <c r="F247" s="96"/>
      <c r="G247" s="95" t="str">
        <f t="shared" si="3"/>
        <v/>
      </c>
      <c r="H247" s="91" t="str">
        <f>IF(E247&lt;&gt;"",E247/'Project Summary'!$C$9,"")</f>
        <v/>
      </c>
      <c r="I247" s="97" t="str">
        <f>IF(F247&lt;&gt;"",F247/'Project Summary'!$C$10, "")</f>
        <v/>
      </c>
      <c r="J247" s="68"/>
      <c r="K247" s="69"/>
      <c r="L247" s="102"/>
      <c r="M247" s="102"/>
      <c r="N247" s="68"/>
      <c r="O247" s="68"/>
      <c r="P247" s="106"/>
      <c r="Q247" s="107"/>
      <c r="R247" s="107"/>
      <c r="S247" s="107"/>
      <c r="T247" s="107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</row>
    <row r="248" spans="2:36" x14ac:dyDescent="0.25">
      <c r="B248" s="68"/>
      <c r="C248" s="68"/>
      <c r="D248" s="70"/>
      <c r="E248" s="68"/>
      <c r="F248" s="96"/>
      <c r="G248" s="95" t="str">
        <f t="shared" si="3"/>
        <v/>
      </c>
      <c r="H248" s="91" t="str">
        <f>IF(E248&lt;&gt;"",E248/'Project Summary'!$C$9,"")</f>
        <v/>
      </c>
      <c r="I248" s="97" t="str">
        <f>IF(F248&lt;&gt;"",F248/'Project Summary'!$C$10, "")</f>
        <v/>
      </c>
      <c r="J248" s="68"/>
      <c r="K248" s="69"/>
      <c r="L248" s="102"/>
      <c r="M248" s="102"/>
      <c r="N248" s="68"/>
      <c r="O248" s="68"/>
      <c r="P248" s="106"/>
      <c r="Q248" s="107"/>
      <c r="R248" s="107"/>
      <c r="S248" s="107"/>
      <c r="T248" s="107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</row>
    <row r="249" spans="2:36" x14ac:dyDescent="0.25">
      <c r="B249" s="68"/>
      <c r="C249" s="68"/>
      <c r="D249" s="70"/>
      <c r="E249" s="68"/>
      <c r="F249" s="96"/>
      <c r="G249" s="95" t="str">
        <f t="shared" si="3"/>
        <v/>
      </c>
      <c r="H249" s="91" t="str">
        <f>IF(E249&lt;&gt;"",E249/'Project Summary'!$C$9,"")</f>
        <v/>
      </c>
      <c r="I249" s="97" t="str">
        <f>IF(F249&lt;&gt;"",F249/'Project Summary'!$C$10, "")</f>
        <v/>
      </c>
      <c r="J249" s="68"/>
      <c r="K249" s="69"/>
      <c r="L249" s="102"/>
      <c r="M249" s="102"/>
      <c r="N249" s="68"/>
      <c r="O249" s="68"/>
      <c r="P249" s="106"/>
      <c r="Q249" s="107"/>
      <c r="R249" s="107"/>
      <c r="S249" s="107"/>
      <c r="T249" s="107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</row>
    <row r="250" spans="2:36" x14ac:dyDescent="0.25">
      <c r="B250" s="68"/>
      <c r="C250" s="68"/>
      <c r="D250" s="70"/>
      <c r="E250" s="68"/>
      <c r="F250" s="96"/>
      <c r="G250" s="95" t="str">
        <f t="shared" si="3"/>
        <v/>
      </c>
      <c r="H250" s="91" t="str">
        <f>IF(E250&lt;&gt;"",E250/'Project Summary'!$C$9,"")</f>
        <v/>
      </c>
      <c r="I250" s="97" t="str">
        <f>IF(F250&lt;&gt;"",F250/'Project Summary'!$C$10, "")</f>
        <v/>
      </c>
      <c r="J250" s="68"/>
      <c r="K250" s="69"/>
      <c r="L250" s="102"/>
      <c r="M250" s="102"/>
      <c r="N250" s="68"/>
      <c r="O250" s="68"/>
      <c r="P250" s="106"/>
      <c r="Q250" s="107"/>
      <c r="R250" s="107"/>
      <c r="S250" s="107"/>
      <c r="T250" s="107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</row>
    <row r="251" spans="2:36" x14ac:dyDescent="0.25">
      <c r="B251" s="68"/>
      <c r="C251" s="68"/>
      <c r="D251" s="70"/>
      <c r="E251" s="68"/>
      <c r="F251" s="96"/>
      <c r="G251" s="95" t="str">
        <f t="shared" si="3"/>
        <v/>
      </c>
      <c r="H251" s="91" t="str">
        <f>IF(E251&lt;&gt;"",E251/'Project Summary'!$C$9,"")</f>
        <v/>
      </c>
      <c r="I251" s="97" t="str">
        <f>IF(F251&lt;&gt;"",F251/'Project Summary'!$C$10, "")</f>
        <v/>
      </c>
      <c r="J251" s="68"/>
      <c r="K251" s="69"/>
      <c r="L251" s="102"/>
      <c r="M251" s="102"/>
      <c r="N251" s="68"/>
      <c r="O251" s="68"/>
      <c r="P251" s="106"/>
      <c r="Q251" s="107"/>
      <c r="R251" s="107"/>
      <c r="S251" s="107"/>
      <c r="T251" s="107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</row>
    <row r="252" spans="2:36" x14ac:dyDescent="0.25">
      <c r="B252" s="68"/>
      <c r="C252" s="68"/>
      <c r="D252" s="70"/>
      <c r="E252" s="68"/>
      <c r="F252" s="96"/>
      <c r="G252" s="95" t="str">
        <f t="shared" si="3"/>
        <v/>
      </c>
      <c r="H252" s="91" t="str">
        <f>IF(E252&lt;&gt;"",E252/'Project Summary'!$C$9,"")</f>
        <v/>
      </c>
      <c r="I252" s="97" t="str">
        <f>IF(F252&lt;&gt;"",F252/'Project Summary'!$C$10, "")</f>
        <v/>
      </c>
      <c r="J252" s="68"/>
      <c r="K252" s="69"/>
      <c r="L252" s="102"/>
      <c r="M252" s="102"/>
      <c r="N252" s="68"/>
      <c r="O252" s="68"/>
      <c r="P252" s="106"/>
      <c r="Q252" s="107"/>
      <c r="R252" s="107"/>
      <c r="S252" s="107"/>
      <c r="T252" s="107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</row>
    <row r="253" spans="2:36" x14ac:dyDescent="0.25">
      <c r="B253" s="68"/>
      <c r="C253" s="68"/>
      <c r="D253" s="70"/>
      <c r="E253" s="68"/>
      <c r="F253" s="96"/>
      <c r="G253" s="95" t="str">
        <f t="shared" si="3"/>
        <v/>
      </c>
      <c r="H253" s="91" t="str">
        <f>IF(E253&lt;&gt;"",E253/'Project Summary'!$C$9,"")</f>
        <v/>
      </c>
      <c r="I253" s="97" t="str">
        <f>IF(F253&lt;&gt;"",F253/'Project Summary'!$C$10, "")</f>
        <v/>
      </c>
      <c r="J253" s="68"/>
      <c r="K253" s="69"/>
      <c r="L253" s="102"/>
      <c r="M253" s="102"/>
      <c r="N253" s="68"/>
      <c r="O253" s="68"/>
      <c r="P253" s="106"/>
      <c r="Q253" s="107"/>
      <c r="R253" s="107"/>
      <c r="S253" s="107"/>
      <c r="T253" s="107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</row>
    <row r="254" spans="2:36" x14ac:dyDescent="0.25">
      <c r="B254" s="68"/>
      <c r="C254" s="68"/>
      <c r="D254" s="70"/>
      <c r="E254" s="68"/>
      <c r="F254" s="96"/>
      <c r="G254" s="95" t="str">
        <f t="shared" si="3"/>
        <v/>
      </c>
      <c r="H254" s="91" t="str">
        <f>IF(E254&lt;&gt;"",E254/'Project Summary'!$C$9,"")</f>
        <v/>
      </c>
      <c r="I254" s="97" t="str">
        <f>IF(F254&lt;&gt;"",F254/'Project Summary'!$C$10, "")</f>
        <v/>
      </c>
      <c r="J254" s="68"/>
      <c r="K254" s="69"/>
      <c r="L254" s="102"/>
      <c r="M254" s="102"/>
      <c r="N254" s="68"/>
      <c r="O254" s="68"/>
      <c r="P254" s="106"/>
      <c r="Q254" s="107"/>
      <c r="R254" s="107"/>
      <c r="S254" s="107"/>
      <c r="T254" s="107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</row>
    <row r="255" spans="2:36" x14ac:dyDescent="0.25">
      <c r="B255" s="68"/>
      <c r="C255" s="68"/>
      <c r="D255" s="70"/>
      <c r="E255" s="68"/>
      <c r="F255" s="96"/>
      <c r="G255" s="95" t="str">
        <f t="shared" si="3"/>
        <v/>
      </c>
      <c r="H255" s="91" t="str">
        <f>IF(E255&lt;&gt;"",E255/'Project Summary'!$C$9,"")</f>
        <v/>
      </c>
      <c r="I255" s="97" t="str">
        <f>IF(F255&lt;&gt;"",F255/'Project Summary'!$C$10, "")</f>
        <v/>
      </c>
      <c r="J255" s="68"/>
      <c r="K255" s="69"/>
      <c r="L255" s="102"/>
      <c r="M255" s="102"/>
      <c r="N255" s="68"/>
      <c r="O255" s="68"/>
      <c r="P255" s="106"/>
      <c r="Q255" s="107"/>
      <c r="R255" s="107"/>
      <c r="S255" s="107"/>
      <c r="T255" s="107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</row>
    <row r="256" spans="2:36" x14ac:dyDescent="0.25">
      <c r="B256" s="68"/>
      <c r="C256" s="68"/>
      <c r="D256" s="70"/>
      <c r="E256" s="68"/>
      <c r="F256" s="96"/>
      <c r="G256" s="95" t="str">
        <f t="shared" si="3"/>
        <v/>
      </c>
      <c r="H256" s="91" t="str">
        <f>IF(E256&lt;&gt;"",E256/'Project Summary'!$C$9,"")</f>
        <v/>
      </c>
      <c r="I256" s="97" t="str">
        <f>IF(F256&lt;&gt;"",F256/'Project Summary'!$C$10, "")</f>
        <v/>
      </c>
      <c r="J256" s="68"/>
      <c r="K256" s="69"/>
      <c r="L256" s="102"/>
      <c r="M256" s="102"/>
      <c r="N256" s="68"/>
      <c r="O256" s="68"/>
      <c r="P256" s="106"/>
      <c r="Q256" s="107"/>
      <c r="R256" s="107"/>
      <c r="S256" s="107"/>
      <c r="T256" s="107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</row>
    <row r="257" spans="2:36" x14ac:dyDescent="0.25">
      <c r="B257" s="68"/>
      <c r="C257" s="68"/>
      <c r="D257" s="70"/>
      <c r="E257" s="68"/>
      <c r="F257" s="96"/>
      <c r="G257" s="95" t="str">
        <f t="shared" si="3"/>
        <v/>
      </c>
      <c r="H257" s="91" t="str">
        <f>IF(E257&lt;&gt;"",E257/'Project Summary'!$C$9,"")</f>
        <v/>
      </c>
      <c r="I257" s="97" t="str">
        <f>IF(F257&lt;&gt;"",F257/'Project Summary'!$C$10, "")</f>
        <v/>
      </c>
      <c r="J257" s="68"/>
      <c r="K257" s="69"/>
      <c r="L257" s="102"/>
      <c r="M257" s="102"/>
      <c r="N257" s="68"/>
      <c r="O257" s="68"/>
      <c r="P257" s="106"/>
      <c r="Q257" s="107"/>
      <c r="R257" s="107"/>
      <c r="S257" s="107"/>
      <c r="T257" s="107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</row>
    <row r="258" spans="2:36" x14ac:dyDescent="0.25">
      <c r="B258" s="68"/>
      <c r="C258" s="68"/>
      <c r="D258" s="70"/>
      <c r="E258" s="68"/>
      <c r="F258" s="96"/>
      <c r="G258" s="95" t="str">
        <f t="shared" si="3"/>
        <v/>
      </c>
      <c r="H258" s="91" t="str">
        <f>IF(E258&lt;&gt;"",E258/'Project Summary'!$C$9,"")</f>
        <v/>
      </c>
      <c r="I258" s="97" t="str">
        <f>IF(F258&lt;&gt;"",F258/'Project Summary'!$C$10, "")</f>
        <v/>
      </c>
      <c r="J258" s="68"/>
      <c r="K258" s="69"/>
      <c r="L258" s="102"/>
      <c r="M258" s="102"/>
      <c r="N258" s="68"/>
      <c r="O258" s="68"/>
      <c r="P258" s="106"/>
      <c r="Q258" s="107"/>
      <c r="R258" s="107"/>
      <c r="S258" s="107"/>
      <c r="T258" s="107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</row>
    <row r="259" spans="2:36" x14ac:dyDescent="0.25">
      <c r="B259" s="68"/>
      <c r="C259" s="68"/>
      <c r="D259" s="70"/>
      <c r="E259" s="68"/>
      <c r="F259" s="96"/>
      <c r="G259" s="95" t="str">
        <f t="shared" si="3"/>
        <v/>
      </c>
      <c r="H259" s="91" t="str">
        <f>IF(E259&lt;&gt;"",E259/'Project Summary'!$C$9,"")</f>
        <v/>
      </c>
      <c r="I259" s="97" t="str">
        <f>IF(F259&lt;&gt;"",F259/'Project Summary'!$C$10, "")</f>
        <v/>
      </c>
      <c r="J259" s="68"/>
      <c r="K259" s="69"/>
      <c r="L259" s="102"/>
      <c r="M259" s="102"/>
      <c r="N259" s="68"/>
      <c r="O259" s="68"/>
      <c r="P259" s="106"/>
      <c r="Q259" s="107"/>
      <c r="R259" s="107"/>
      <c r="S259" s="107"/>
      <c r="T259" s="107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</row>
    <row r="260" spans="2:36" x14ac:dyDescent="0.25">
      <c r="B260" s="68"/>
      <c r="C260" s="68"/>
      <c r="D260" s="70"/>
      <c r="E260" s="68"/>
      <c r="F260" s="96"/>
      <c r="G260" s="95" t="str">
        <f t="shared" si="3"/>
        <v/>
      </c>
      <c r="H260" s="91" t="str">
        <f>IF(E260&lt;&gt;"",E260/'Project Summary'!$C$9,"")</f>
        <v/>
      </c>
      <c r="I260" s="97" t="str">
        <f>IF(F260&lt;&gt;"",F260/'Project Summary'!$C$10, "")</f>
        <v/>
      </c>
      <c r="J260" s="68"/>
      <c r="K260" s="69"/>
      <c r="L260" s="102"/>
      <c r="M260" s="102"/>
      <c r="N260" s="68"/>
      <c r="O260" s="68"/>
      <c r="P260" s="106"/>
      <c r="Q260" s="107"/>
      <c r="R260" s="107"/>
      <c r="S260" s="107"/>
      <c r="T260" s="107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</row>
    <row r="261" spans="2:36" x14ac:dyDescent="0.25">
      <c r="B261" s="68"/>
      <c r="C261" s="68"/>
      <c r="D261" s="70"/>
      <c r="E261" s="68"/>
      <c r="F261" s="96"/>
      <c r="G261" s="95" t="str">
        <f t="shared" si="3"/>
        <v/>
      </c>
      <c r="H261" s="91" t="str">
        <f>IF(E261&lt;&gt;"",E261/'Project Summary'!$C$9,"")</f>
        <v/>
      </c>
      <c r="I261" s="97" t="str">
        <f>IF(F261&lt;&gt;"",F261/'Project Summary'!$C$10, "")</f>
        <v/>
      </c>
      <c r="J261" s="68"/>
      <c r="K261" s="69"/>
      <c r="L261" s="102"/>
      <c r="M261" s="102"/>
      <c r="N261" s="68"/>
      <c r="O261" s="68"/>
      <c r="P261" s="106"/>
      <c r="Q261" s="107"/>
      <c r="R261" s="107"/>
      <c r="S261" s="107"/>
      <c r="T261" s="107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</row>
    <row r="262" spans="2:36" x14ac:dyDescent="0.25">
      <c r="B262" s="68"/>
      <c r="C262" s="68"/>
      <c r="D262" s="70"/>
      <c r="E262" s="68"/>
      <c r="F262" s="96"/>
      <c r="G262" s="95" t="str">
        <f t="shared" si="3"/>
        <v/>
      </c>
      <c r="H262" s="91" t="str">
        <f>IF(E262&lt;&gt;"",E262/'Project Summary'!$C$9,"")</f>
        <v/>
      </c>
      <c r="I262" s="97" t="str">
        <f>IF(F262&lt;&gt;"",F262/'Project Summary'!$C$10, "")</f>
        <v/>
      </c>
      <c r="J262" s="68"/>
      <c r="K262" s="69"/>
      <c r="L262" s="102"/>
      <c r="M262" s="102"/>
      <c r="N262" s="68"/>
      <c r="O262" s="68"/>
      <c r="P262" s="106"/>
      <c r="Q262" s="107"/>
      <c r="R262" s="107"/>
      <c r="S262" s="107"/>
      <c r="T262" s="107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</row>
    <row r="263" spans="2:36" x14ac:dyDescent="0.25">
      <c r="B263" s="68"/>
      <c r="C263" s="68"/>
      <c r="D263" s="70"/>
      <c r="E263" s="68"/>
      <c r="F263" s="96"/>
      <c r="G263" s="95" t="str">
        <f t="shared" si="3"/>
        <v/>
      </c>
      <c r="H263" s="91" t="str">
        <f>IF(E263&lt;&gt;"",E263/'Project Summary'!$C$9,"")</f>
        <v/>
      </c>
      <c r="I263" s="97" t="str">
        <f>IF(F263&lt;&gt;"",F263/'Project Summary'!$C$10, "")</f>
        <v/>
      </c>
      <c r="J263" s="68"/>
      <c r="K263" s="69"/>
      <c r="L263" s="102"/>
      <c r="M263" s="102"/>
      <c r="N263" s="68"/>
      <c r="O263" s="68"/>
      <c r="P263" s="106"/>
      <c r="Q263" s="107"/>
      <c r="R263" s="107"/>
      <c r="S263" s="107"/>
      <c r="T263" s="107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</row>
    <row r="264" spans="2:36" x14ac:dyDescent="0.25">
      <c r="B264" s="68"/>
      <c r="C264" s="68"/>
      <c r="D264" s="70"/>
      <c r="E264" s="68"/>
      <c r="F264" s="96"/>
      <c r="G264" s="95" t="str">
        <f t="shared" si="3"/>
        <v/>
      </c>
      <c r="H264" s="91" t="str">
        <f>IF(E264&lt;&gt;"",E264/'Project Summary'!$C$9,"")</f>
        <v/>
      </c>
      <c r="I264" s="97" t="str">
        <f>IF(F264&lt;&gt;"",F264/'Project Summary'!$C$10, "")</f>
        <v/>
      </c>
      <c r="J264" s="68"/>
      <c r="K264" s="69"/>
      <c r="L264" s="102"/>
      <c r="M264" s="102"/>
      <c r="N264" s="68"/>
      <c r="O264" s="68"/>
      <c r="P264" s="106"/>
      <c r="Q264" s="107"/>
      <c r="R264" s="107"/>
      <c r="S264" s="107"/>
      <c r="T264" s="107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</row>
    <row r="265" spans="2:36" x14ac:dyDescent="0.25">
      <c r="B265" s="68"/>
      <c r="C265" s="68"/>
      <c r="D265" s="70"/>
      <c r="E265" s="68"/>
      <c r="F265" s="96"/>
      <c r="G265" s="95" t="str">
        <f t="shared" si="3"/>
        <v/>
      </c>
      <c r="H265" s="91" t="str">
        <f>IF(E265&lt;&gt;"",E265/'Project Summary'!$C$9,"")</f>
        <v/>
      </c>
      <c r="I265" s="97" t="str">
        <f>IF(F265&lt;&gt;"",F265/'Project Summary'!$C$10, "")</f>
        <v/>
      </c>
      <c r="J265" s="68"/>
      <c r="K265" s="69"/>
      <c r="L265" s="102"/>
      <c r="M265" s="102"/>
      <c r="N265" s="68"/>
      <c r="O265" s="68"/>
      <c r="P265" s="106"/>
      <c r="Q265" s="107"/>
      <c r="R265" s="107"/>
      <c r="S265" s="107"/>
      <c r="T265" s="107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</row>
    <row r="266" spans="2:36" x14ac:dyDescent="0.25">
      <c r="B266" s="68"/>
      <c r="C266" s="68"/>
      <c r="D266" s="70"/>
      <c r="E266" s="68"/>
      <c r="F266" s="96"/>
      <c r="G266" s="95" t="str">
        <f t="shared" si="3"/>
        <v/>
      </c>
      <c r="H266" s="91" t="str">
        <f>IF(E266&lt;&gt;"",E266/'Project Summary'!$C$9,"")</f>
        <v/>
      </c>
      <c r="I266" s="97" t="str">
        <f>IF(F266&lt;&gt;"",F266/'Project Summary'!$C$10, "")</f>
        <v/>
      </c>
      <c r="J266" s="68"/>
      <c r="K266" s="69"/>
      <c r="L266" s="102"/>
      <c r="M266" s="102"/>
      <c r="N266" s="68"/>
      <c r="O266" s="68"/>
      <c r="P266" s="106"/>
      <c r="Q266" s="107"/>
      <c r="R266" s="107"/>
      <c r="S266" s="107"/>
      <c r="T266" s="107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</row>
    <row r="267" spans="2:36" x14ac:dyDescent="0.25">
      <c r="B267" s="68"/>
      <c r="C267" s="68"/>
      <c r="D267" s="70"/>
      <c r="E267" s="68"/>
      <c r="F267" s="96"/>
      <c r="G267" s="95" t="str">
        <f t="shared" si="3"/>
        <v/>
      </c>
      <c r="H267" s="91" t="str">
        <f>IF(E267&lt;&gt;"",E267/'Project Summary'!$C$9,"")</f>
        <v/>
      </c>
      <c r="I267" s="97" t="str">
        <f>IF(F267&lt;&gt;"",F267/'Project Summary'!$C$10, "")</f>
        <v/>
      </c>
      <c r="J267" s="68"/>
      <c r="K267" s="69"/>
      <c r="L267" s="102"/>
      <c r="M267" s="102"/>
      <c r="N267" s="68"/>
      <c r="O267" s="68"/>
      <c r="P267" s="106"/>
      <c r="Q267" s="107"/>
      <c r="R267" s="107"/>
      <c r="S267" s="107"/>
      <c r="T267" s="107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</row>
    <row r="268" spans="2:36" x14ac:dyDescent="0.25">
      <c r="B268" s="68"/>
      <c r="C268" s="68"/>
      <c r="D268" s="70"/>
      <c r="E268" s="68"/>
      <c r="F268" s="96"/>
      <c r="G268" s="95" t="str">
        <f t="shared" ref="G268:G331" si="4">IF(D268&lt;&gt;"", D268/E268, "")</f>
        <v/>
      </c>
      <c r="H268" s="91" t="str">
        <f>IF(E268&lt;&gt;"",E268/'Project Summary'!$C$9,"")</f>
        <v/>
      </c>
      <c r="I268" s="97" t="str">
        <f>IF(F268&lt;&gt;"",F268/'Project Summary'!$C$10, "")</f>
        <v/>
      </c>
      <c r="J268" s="68"/>
      <c r="K268" s="69"/>
      <c r="L268" s="102"/>
      <c r="M268" s="102"/>
      <c r="N268" s="68"/>
      <c r="O268" s="68"/>
      <c r="P268" s="106"/>
      <c r="Q268" s="107"/>
      <c r="R268" s="107"/>
      <c r="S268" s="107"/>
      <c r="T268" s="107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</row>
    <row r="269" spans="2:36" x14ac:dyDescent="0.25">
      <c r="B269" s="68"/>
      <c r="C269" s="68"/>
      <c r="D269" s="70"/>
      <c r="E269" s="68"/>
      <c r="F269" s="96"/>
      <c r="G269" s="95" t="str">
        <f t="shared" si="4"/>
        <v/>
      </c>
      <c r="H269" s="91" t="str">
        <f>IF(E269&lt;&gt;"",E269/'Project Summary'!$C$9,"")</f>
        <v/>
      </c>
      <c r="I269" s="97" t="str">
        <f>IF(F269&lt;&gt;"",F269/'Project Summary'!$C$10, "")</f>
        <v/>
      </c>
      <c r="J269" s="68"/>
      <c r="K269" s="69"/>
      <c r="L269" s="102"/>
      <c r="M269" s="102"/>
      <c r="N269" s="68"/>
      <c r="O269" s="68"/>
      <c r="P269" s="106"/>
      <c r="Q269" s="107"/>
      <c r="R269" s="107"/>
      <c r="S269" s="107"/>
      <c r="T269" s="107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</row>
    <row r="270" spans="2:36" x14ac:dyDescent="0.25">
      <c r="B270" s="68"/>
      <c r="C270" s="68"/>
      <c r="D270" s="70"/>
      <c r="E270" s="68"/>
      <c r="F270" s="96"/>
      <c r="G270" s="95" t="str">
        <f t="shared" si="4"/>
        <v/>
      </c>
      <c r="H270" s="91" t="str">
        <f>IF(E270&lt;&gt;"",E270/'Project Summary'!$C$9,"")</f>
        <v/>
      </c>
      <c r="I270" s="97" t="str">
        <f>IF(F270&lt;&gt;"",F270/'Project Summary'!$C$10, "")</f>
        <v/>
      </c>
      <c r="J270" s="68"/>
      <c r="K270" s="69"/>
      <c r="L270" s="102"/>
      <c r="M270" s="102"/>
      <c r="N270" s="68"/>
      <c r="O270" s="68"/>
      <c r="P270" s="106"/>
      <c r="Q270" s="107"/>
      <c r="R270" s="107"/>
      <c r="S270" s="107"/>
      <c r="T270" s="107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</row>
    <row r="271" spans="2:36" x14ac:dyDescent="0.25">
      <c r="B271" s="68"/>
      <c r="C271" s="68"/>
      <c r="D271" s="70"/>
      <c r="E271" s="68"/>
      <c r="F271" s="96"/>
      <c r="G271" s="95" t="str">
        <f t="shared" si="4"/>
        <v/>
      </c>
      <c r="H271" s="91" t="str">
        <f>IF(E271&lt;&gt;"",E271/'Project Summary'!$C$9,"")</f>
        <v/>
      </c>
      <c r="I271" s="97" t="str">
        <f>IF(F271&lt;&gt;"",F271/'Project Summary'!$C$10, "")</f>
        <v/>
      </c>
      <c r="J271" s="68"/>
      <c r="K271" s="69"/>
      <c r="L271" s="102"/>
      <c r="M271" s="102"/>
      <c r="N271" s="68"/>
      <c r="O271" s="68"/>
      <c r="P271" s="106"/>
      <c r="Q271" s="107"/>
      <c r="R271" s="107"/>
      <c r="S271" s="107"/>
      <c r="T271" s="107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</row>
    <row r="272" spans="2:36" x14ac:dyDescent="0.25">
      <c r="B272" s="68"/>
      <c r="C272" s="68"/>
      <c r="D272" s="70"/>
      <c r="E272" s="68"/>
      <c r="F272" s="96"/>
      <c r="G272" s="95" t="str">
        <f t="shared" si="4"/>
        <v/>
      </c>
      <c r="H272" s="91" t="str">
        <f>IF(E272&lt;&gt;"",E272/'Project Summary'!$C$9,"")</f>
        <v/>
      </c>
      <c r="I272" s="97" t="str">
        <f>IF(F272&lt;&gt;"",F272/'Project Summary'!$C$10, "")</f>
        <v/>
      </c>
      <c r="J272" s="68"/>
      <c r="K272" s="69"/>
      <c r="L272" s="102"/>
      <c r="M272" s="102"/>
      <c r="N272" s="68"/>
      <c r="O272" s="68"/>
      <c r="P272" s="106"/>
      <c r="Q272" s="107"/>
      <c r="R272" s="107"/>
      <c r="S272" s="107"/>
      <c r="T272" s="107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</row>
    <row r="273" spans="2:36" x14ac:dyDescent="0.25">
      <c r="B273" s="68"/>
      <c r="C273" s="68"/>
      <c r="D273" s="70"/>
      <c r="E273" s="68"/>
      <c r="F273" s="96"/>
      <c r="G273" s="95" t="str">
        <f t="shared" si="4"/>
        <v/>
      </c>
      <c r="H273" s="91" t="str">
        <f>IF(E273&lt;&gt;"",E273/'Project Summary'!$C$9,"")</f>
        <v/>
      </c>
      <c r="I273" s="97" t="str">
        <f>IF(F273&lt;&gt;"",F273/'Project Summary'!$C$10, "")</f>
        <v/>
      </c>
      <c r="J273" s="68"/>
      <c r="K273" s="69"/>
      <c r="L273" s="102"/>
      <c r="M273" s="102"/>
      <c r="N273" s="68"/>
      <c r="O273" s="68"/>
      <c r="P273" s="106"/>
      <c r="Q273" s="107"/>
      <c r="R273" s="107"/>
      <c r="S273" s="107"/>
      <c r="T273" s="107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</row>
    <row r="274" spans="2:36" x14ac:dyDescent="0.25">
      <c r="B274" s="68"/>
      <c r="C274" s="68"/>
      <c r="D274" s="70"/>
      <c r="E274" s="68"/>
      <c r="F274" s="96"/>
      <c r="G274" s="95" t="str">
        <f t="shared" si="4"/>
        <v/>
      </c>
      <c r="H274" s="91" t="str">
        <f>IF(E274&lt;&gt;"",E274/'Project Summary'!$C$9,"")</f>
        <v/>
      </c>
      <c r="I274" s="97" t="str">
        <f>IF(F274&lt;&gt;"",F274/'Project Summary'!$C$10, "")</f>
        <v/>
      </c>
      <c r="J274" s="68"/>
      <c r="K274" s="69"/>
      <c r="L274" s="102"/>
      <c r="M274" s="102"/>
      <c r="N274" s="68"/>
      <c r="O274" s="68"/>
      <c r="P274" s="106"/>
      <c r="Q274" s="107"/>
      <c r="R274" s="107"/>
      <c r="S274" s="107"/>
      <c r="T274" s="107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</row>
    <row r="275" spans="2:36" x14ac:dyDescent="0.25">
      <c r="B275" s="68"/>
      <c r="C275" s="68"/>
      <c r="D275" s="70"/>
      <c r="E275" s="68"/>
      <c r="F275" s="96"/>
      <c r="G275" s="95" t="str">
        <f t="shared" si="4"/>
        <v/>
      </c>
      <c r="H275" s="91" t="str">
        <f>IF(E275&lt;&gt;"",E275/'Project Summary'!$C$9,"")</f>
        <v/>
      </c>
      <c r="I275" s="97" t="str">
        <f>IF(F275&lt;&gt;"",F275/'Project Summary'!$C$10, "")</f>
        <v/>
      </c>
      <c r="J275" s="68"/>
      <c r="K275" s="69"/>
      <c r="L275" s="102"/>
      <c r="M275" s="102"/>
      <c r="N275" s="68"/>
      <c r="O275" s="68"/>
      <c r="P275" s="106"/>
      <c r="Q275" s="107"/>
      <c r="R275" s="107"/>
      <c r="S275" s="107"/>
      <c r="T275" s="107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</row>
    <row r="276" spans="2:36" x14ac:dyDescent="0.25">
      <c r="B276" s="68"/>
      <c r="C276" s="68"/>
      <c r="D276" s="70"/>
      <c r="E276" s="68"/>
      <c r="F276" s="96"/>
      <c r="G276" s="95" t="str">
        <f t="shared" si="4"/>
        <v/>
      </c>
      <c r="H276" s="91" t="str">
        <f>IF(E276&lt;&gt;"",E276/'Project Summary'!$C$9,"")</f>
        <v/>
      </c>
      <c r="I276" s="97" t="str">
        <f>IF(F276&lt;&gt;"",F276/'Project Summary'!$C$10, "")</f>
        <v/>
      </c>
      <c r="J276" s="68"/>
      <c r="K276" s="69"/>
      <c r="L276" s="102"/>
      <c r="M276" s="102"/>
      <c r="N276" s="68"/>
      <c r="O276" s="68"/>
      <c r="P276" s="106"/>
      <c r="Q276" s="107"/>
      <c r="R276" s="107"/>
      <c r="S276" s="107"/>
      <c r="T276" s="107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</row>
    <row r="277" spans="2:36" x14ac:dyDescent="0.25">
      <c r="B277" s="68"/>
      <c r="C277" s="68"/>
      <c r="D277" s="70"/>
      <c r="E277" s="68"/>
      <c r="F277" s="96"/>
      <c r="G277" s="95" t="str">
        <f t="shared" si="4"/>
        <v/>
      </c>
      <c r="H277" s="91" t="str">
        <f>IF(E277&lt;&gt;"",E277/'Project Summary'!$C$9,"")</f>
        <v/>
      </c>
      <c r="I277" s="97" t="str">
        <f>IF(F277&lt;&gt;"",F277/'Project Summary'!$C$10, "")</f>
        <v/>
      </c>
      <c r="J277" s="68"/>
      <c r="K277" s="69"/>
      <c r="L277" s="102"/>
      <c r="M277" s="102"/>
      <c r="N277" s="68"/>
      <c r="O277" s="68"/>
      <c r="P277" s="106"/>
      <c r="Q277" s="107"/>
      <c r="R277" s="107"/>
      <c r="S277" s="107"/>
      <c r="T277" s="107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</row>
    <row r="278" spans="2:36" x14ac:dyDescent="0.25">
      <c r="B278" s="68"/>
      <c r="C278" s="68"/>
      <c r="D278" s="70"/>
      <c r="E278" s="68"/>
      <c r="F278" s="96"/>
      <c r="G278" s="95" t="str">
        <f t="shared" si="4"/>
        <v/>
      </c>
      <c r="H278" s="91" t="str">
        <f>IF(E278&lt;&gt;"",E278/'Project Summary'!$C$9,"")</f>
        <v/>
      </c>
      <c r="I278" s="97" t="str">
        <f>IF(F278&lt;&gt;"",F278/'Project Summary'!$C$10, "")</f>
        <v/>
      </c>
      <c r="J278" s="68"/>
      <c r="K278" s="69"/>
      <c r="L278" s="102"/>
      <c r="M278" s="102"/>
      <c r="N278" s="68"/>
      <c r="O278" s="68"/>
      <c r="P278" s="106"/>
      <c r="Q278" s="107"/>
      <c r="R278" s="107"/>
      <c r="S278" s="107"/>
      <c r="T278" s="107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</row>
    <row r="279" spans="2:36" x14ac:dyDescent="0.25">
      <c r="B279" s="68"/>
      <c r="C279" s="68"/>
      <c r="D279" s="70"/>
      <c r="E279" s="68"/>
      <c r="F279" s="96"/>
      <c r="G279" s="95" t="str">
        <f t="shared" si="4"/>
        <v/>
      </c>
      <c r="H279" s="91" t="str">
        <f>IF(E279&lt;&gt;"",E279/'Project Summary'!$C$9,"")</f>
        <v/>
      </c>
      <c r="I279" s="97" t="str">
        <f>IF(F279&lt;&gt;"",F279/'Project Summary'!$C$10, "")</f>
        <v/>
      </c>
      <c r="J279" s="68"/>
      <c r="K279" s="69"/>
      <c r="L279" s="102"/>
      <c r="M279" s="102"/>
      <c r="N279" s="68"/>
      <c r="O279" s="68"/>
      <c r="P279" s="106"/>
      <c r="Q279" s="107"/>
      <c r="R279" s="107"/>
      <c r="S279" s="107"/>
      <c r="T279" s="107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</row>
    <row r="280" spans="2:36" x14ac:dyDescent="0.25">
      <c r="B280" s="68"/>
      <c r="C280" s="68"/>
      <c r="D280" s="70"/>
      <c r="E280" s="68"/>
      <c r="F280" s="96"/>
      <c r="G280" s="95" t="str">
        <f t="shared" si="4"/>
        <v/>
      </c>
      <c r="H280" s="91" t="str">
        <f>IF(E280&lt;&gt;"",E280/'Project Summary'!$C$9,"")</f>
        <v/>
      </c>
      <c r="I280" s="97" t="str">
        <f>IF(F280&lt;&gt;"",F280/'Project Summary'!$C$10, "")</f>
        <v/>
      </c>
      <c r="J280" s="68"/>
      <c r="K280" s="69"/>
      <c r="L280" s="102"/>
      <c r="M280" s="102"/>
      <c r="N280" s="68"/>
      <c r="O280" s="68"/>
      <c r="P280" s="106"/>
      <c r="Q280" s="107"/>
      <c r="R280" s="107"/>
      <c r="S280" s="107"/>
      <c r="T280" s="107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</row>
    <row r="281" spans="2:36" x14ac:dyDescent="0.25">
      <c r="B281" s="68"/>
      <c r="C281" s="68"/>
      <c r="D281" s="70"/>
      <c r="E281" s="68"/>
      <c r="F281" s="96"/>
      <c r="G281" s="95" t="str">
        <f t="shared" si="4"/>
        <v/>
      </c>
      <c r="H281" s="91" t="str">
        <f>IF(E281&lt;&gt;"",E281/'Project Summary'!$C$9,"")</f>
        <v/>
      </c>
      <c r="I281" s="97" t="str">
        <f>IF(F281&lt;&gt;"",F281/'Project Summary'!$C$10, "")</f>
        <v/>
      </c>
      <c r="J281" s="68"/>
      <c r="K281" s="69"/>
      <c r="L281" s="102"/>
      <c r="M281" s="102"/>
      <c r="N281" s="68"/>
      <c r="O281" s="68"/>
      <c r="P281" s="106"/>
      <c r="Q281" s="107"/>
      <c r="R281" s="107"/>
      <c r="S281" s="107"/>
      <c r="T281" s="107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</row>
    <row r="282" spans="2:36" x14ac:dyDescent="0.25">
      <c r="B282" s="68"/>
      <c r="C282" s="68"/>
      <c r="D282" s="70"/>
      <c r="E282" s="68"/>
      <c r="F282" s="96"/>
      <c r="G282" s="95" t="str">
        <f t="shared" si="4"/>
        <v/>
      </c>
      <c r="H282" s="91" t="str">
        <f>IF(E282&lt;&gt;"",E282/'Project Summary'!$C$9,"")</f>
        <v/>
      </c>
      <c r="I282" s="97" t="str">
        <f>IF(F282&lt;&gt;"",F282/'Project Summary'!$C$10, "")</f>
        <v/>
      </c>
      <c r="J282" s="68"/>
      <c r="K282" s="69"/>
      <c r="L282" s="102"/>
      <c r="M282" s="102"/>
      <c r="N282" s="68"/>
      <c r="O282" s="68"/>
      <c r="P282" s="106"/>
      <c r="Q282" s="107"/>
      <c r="R282" s="107"/>
      <c r="S282" s="107"/>
      <c r="T282" s="107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</row>
    <row r="283" spans="2:36" x14ac:dyDescent="0.25">
      <c r="B283" s="68"/>
      <c r="C283" s="68"/>
      <c r="D283" s="70"/>
      <c r="E283" s="68"/>
      <c r="F283" s="96"/>
      <c r="G283" s="95" t="str">
        <f t="shared" si="4"/>
        <v/>
      </c>
      <c r="H283" s="91" t="str">
        <f>IF(E283&lt;&gt;"",E283/'Project Summary'!$C$9,"")</f>
        <v/>
      </c>
      <c r="I283" s="97" t="str">
        <f>IF(F283&lt;&gt;"",F283/'Project Summary'!$C$10, "")</f>
        <v/>
      </c>
      <c r="J283" s="68"/>
      <c r="K283" s="69"/>
      <c r="L283" s="102"/>
      <c r="M283" s="102"/>
      <c r="N283" s="68"/>
      <c r="O283" s="68"/>
      <c r="P283" s="106"/>
      <c r="Q283" s="107"/>
      <c r="R283" s="107"/>
      <c r="S283" s="107"/>
      <c r="T283" s="107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</row>
    <row r="284" spans="2:36" x14ac:dyDescent="0.25">
      <c r="B284" s="68"/>
      <c r="C284" s="68"/>
      <c r="D284" s="70"/>
      <c r="E284" s="68"/>
      <c r="F284" s="96"/>
      <c r="G284" s="95" t="str">
        <f t="shared" si="4"/>
        <v/>
      </c>
      <c r="H284" s="91" t="str">
        <f>IF(E284&lt;&gt;"",E284/'Project Summary'!$C$9,"")</f>
        <v/>
      </c>
      <c r="I284" s="97" t="str">
        <f>IF(F284&lt;&gt;"",F284/'Project Summary'!$C$10, "")</f>
        <v/>
      </c>
      <c r="J284" s="68"/>
      <c r="K284" s="69"/>
      <c r="L284" s="102"/>
      <c r="M284" s="102"/>
      <c r="N284" s="68"/>
      <c r="O284" s="68"/>
      <c r="P284" s="106"/>
      <c r="Q284" s="107"/>
      <c r="R284" s="107"/>
      <c r="S284" s="107"/>
      <c r="T284" s="107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</row>
    <row r="285" spans="2:36" x14ac:dyDescent="0.25">
      <c r="B285" s="68"/>
      <c r="C285" s="68"/>
      <c r="D285" s="70"/>
      <c r="E285" s="68"/>
      <c r="F285" s="96"/>
      <c r="G285" s="95" t="str">
        <f t="shared" si="4"/>
        <v/>
      </c>
      <c r="H285" s="91" t="str">
        <f>IF(E285&lt;&gt;"",E285/'Project Summary'!$C$9,"")</f>
        <v/>
      </c>
      <c r="I285" s="97" t="str">
        <f>IF(F285&lt;&gt;"",F285/'Project Summary'!$C$10, "")</f>
        <v/>
      </c>
      <c r="J285" s="68"/>
      <c r="K285" s="69"/>
      <c r="L285" s="102"/>
      <c r="M285" s="102"/>
      <c r="N285" s="68"/>
      <c r="O285" s="68"/>
      <c r="P285" s="106"/>
      <c r="Q285" s="107"/>
      <c r="R285" s="107"/>
      <c r="S285" s="107"/>
      <c r="T285" s="107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</row>
    <row r="286" spans="2:36" x14ac:dyDescent="0.25">
      <c r="B286" s="68"/>
      <c r="C286" s="68"/>
      <c r="D286" s="70"/>
      <c r="E286" s="68"/>
      <c r="F286" s="96"/>
      <c r="G286" s="95" t="str">
        <f t="shared" si="4"/>
        <v/>
      </c>
      <c r="H286" s="91" t="str">
        <f>IF(E286&lt;&gt;"",E286/'Project Summary'!$C$9,"")</f>
        <v/>
      </c>
      <c r="I286" s="97" t="str">
        <f>IF(F286&lt;&gt;"",F286/'Project Summary'!$C$10, "")</f>
        <v/>
      </c>
      <c r="J286" s="68"/>
      <c r="K286" s="69"/>
      <c r="L286" s="102"/>
      <c r="M286" s="102"/>
      <c r="N286" s="68"/>
      <c r="O286" s="68"/>
      <c r="P286" s="106"/>
      <c r="Q286" s="107"/>
      <c r="R286" s="107"/>
      <c r="S286" s="107"/>
      <c r="T286" s="107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</row>
    <row r="287" spans="2:36" x14ac:dyDescent="0.25">
      <c r="B287" s="68"/>
      <c r="C287" s="68"/>
      <c r="D287" s="70"/>
      <c r="E287" s="68"/>
      <c r="F287" s="96"/>
      <c r="G287" s="95" t="str">
        <f t="shared" si="4"/>
        <v/>
      </c>
      <c r="H287" s="91" t="str">
        <f>IF(E287&lt;&gt;"",E287/'Project Summary'!$C$9,"")</f>
        <v/>
      </c>
      <c r="I287" s="97" t="str">
        <f>IF(F287&lt;&gt;"",F287/'Project Summary'!$C$10, "")</f>
        <v/>
      </c>
      <c r="J287" s="68"/>
      <c r="K287" s="69"/>
      <c r="L287" s="102"/>
      <c r="M287" s="102"/>
      <c r="N287" s="68"/>
      <c r="O287" s="68"/>
      <c r="P287" s="106"/>
      <c r="Q287" s="107"/>
      <c r="R287" s="107"/>
      <c r="S287" s="107"/>
      <c r="T287" s="107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</row>
    <row r="288" spans="2:36" x14ac:dyDescent="0.25">
      <c r="B288" s="68"/>
      <c r="C288" s="68"/>
      <c r="D288" s="70"/>
      <c r="E288" s="68"/>
      <c r="F288" s="96"/>
      <c r="G288" s="95" t="str">
        <f t="shared" si="4"/>
        <v/>
      </c>
      <c r="H288" s="91" t="str">
        <f>IF(E288&lt;&gt;"",E288/'Project Summary'!$C$9,"")</f>
        <v/>
      </c>
      <c r="I288" s="97" t="str">
        <f>IF(F288&lt;&gt;"",F288/'Project Summary'!$C$10, "")</f>
        <v/>
      </c>
      <c r="J288" s="68"/>
      <c r="K288" s="69"/>
      <c r="L288" s="102"/>
      <c r="M288" s="102"/>
      <c r="N288" s="68"/>
      <c r="O288" s="68"/>
      <c r="P288" s="106"/>
      <c r="Q288" s="107"/>
      <c r="R288" s="107"/>
      <c r="S288" s="107"/>
      <c r="T288" s="107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</row>
    <row r="289" spans="2:36" x14ac:dyDescent="0.25">
      <c r="B289" s="68"/>
      <c r="C289" s="68"/>
      <c r="D289" s="70"/>
      <c r="E289" s="68"/>
      <c r="F289" s="96"/>
      <c r="G289" s="95" t="str">
        <f t="shared" si="4"/>
        <v/>
      </c>
      <c r="H289" s="91" t="str">
        <f>IF(E289&lt;&gt;"",E289/'Project Summary'!$C$9,"")</f>
        <v/>
      </c>
      <c r="I289" s="97" t="str">
        <f>IF(F289&lt;&gt;"",F289/'Project Summary'!$C$10, "")</f>
        <v/>
      </c>
      <c r="J289" s="68"/>
      <c r="K289" s="69"/>
      <c r="L289" s="102"/>
      <c r="M289" s="102"/>
      <c r="N289" s="68"/>
      <c r="O289" s="68"/>
      <c r="P289" s="106"/>
      <c r="Q289" s="107"/>
      <c r="R289" s="107"/>
      <c r="S289" s="107"/>
      <c r="T289" s="107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</row>
    <row r="290" spans="2:36" x14ac:dyDescent="0.25">
      <c r="B290" s="68"/>
      <c r="C290" s="68"/>
      <c r="D290" s="70"/>
      <c r="E290" s="68"/>
      <c r="F290" s="96"/>
      <c r="G290" s="95" t="str">
        <f t="shared" si="4"/>
        <v/>
      </c>
      <c r="H290" s="91" t="str">
        <f>IF(E290&lt;&gt;"",E290/'Project Summary'!$C$9,"")</f>
        <v/>
      </c>
      <c r="I290" s="97" t="str">
        <f>IF(F290&lt;&gt;"",F290/'Project Summary'!$C$10, "")</f>
        <v/>
      </c>
      <c r="J290" s="68"/>
      <c r="K290" s="69"/>
      <c r="L290" s="102"/>
      <c r="M290" s="102"/>
      <c r="N290" s="68"/>
      <c r="O290" s="68"/>
      <c r="P290" s="106"/>
      <c r="Q290" s="107"/>
      <c r="R290" s="107"/>
      <c r="S290" s="107"/>
      <c r="T290" s="107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</row>
    <row r="291" spans="2:36" x14ac:dyDescent="0.25">
      <c r="B291" s="68"/>
      <c r="C291" s="68"/>
      <c r="D291" s="70"/>
      <c r="E291" s="68"/>
      <c r="F291" s="96"/>
      <c r="G291" s="95" t="str">
        <f t="shared" si="4"/>
        <v/>
      </c>
      <c r="H291" s="91" t="str">
        <f>IF(E291&lt;&gt;"",E291/'Project Summary'!$C$9,"")</f>
        <v/>
      </c>
      <c r="I291" s="97" t="str">
        <f>IF(F291&lt;&gt;"",F291/'Project Summary'!$C$10, "")</f>
        <v/>
      </c>
      <c r="J291" s="68"/>
      <c r="K291" s="69"/>
      <c r="L291" s="102"/>
      <c r="M291" s="102"/>
      <c r="N291" s="68"/>
      <c r="O291" s="68"/>
      <c r="P291" s="106"/>
      <c r="Q291" s="107"/>
      <c r="R291" s="107"/>
      <c r="S291" s="107"/>
      <c r="T291" s="107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</row>
    <row r="292" spans="2:36" x14ac:dyDescent="0.25">
      <c r="B292" s="68"/>
      <c r="C292" s="68"/>
      <c r="D292" s="70"/>
      <c r="E292" s="68"/>
      <c r="F292" s="96"/>
      <c r="G292" s="95" t="str">
        <f t="shared" si="4"/>
        <v/>
      </c>
      <c r="H292" s="91" t="str">
        <f>IF(E292&lt;&gt;"",E292/'Project Summary'!$C$9,"")</f>
        <v/>
      </c>
      <c r="I292" s="97" t="str">
        <f>IF(F292&lt;&gt;"",F292/'Project Summary'!$C$10, "")</f>
        <v/>
      </c>
      <c r="J292" s="68"/>
      <c r="K292" s="69"/>
      <c r="L292" s="102"/>
      <c r="M292" s="102"/>
      <c r="N292" s="68"/>
      <c r="O292" s="68"/>
      <c r="P292" s="106"/>
      <c r="Q292" s="107"/>
      <c r="R292" s="107"/>
      <c r="S292" s="107"/>
      <c r="T292" s="107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</row>
    <row r="293" spans="2:36" x14ac:dyDescent="0.25">
      <c r="B293" s="68"/>
      <c r="C293" s="68"/>
      <c r="D293" s="70"/>
      <c r="E293" s="68"/>
      <c r="F293" s="96"/>
      <c r="G293" s="95" t="str">
        <f t="shared" si="4"/>
        <v/>
      </c>
      <c r="H293" s="91" t="str">
        <f>IF(E293&lt;&gt;"",E293/'Project Summary'!$C$9,"")</f>
        <v/>
      </c>
      <c r="I293" s="97" t="str">
        <f>IF(F293&lt;&gt;"",F293/'Project Summary'!$C$10, "")</f>
        <v/>
      </c>
      <c r="J293" s="68"/>
      <c r="K293" s="69"/>
      <c r="L293" s="102"/>
      <c r="M293" s="102"/>
      <c r="N293" s="68"/>
      <c r="O293" s="68"/>
      <c r="P293" s="106"/>
      <c r="Q293" s="107"/>
      <c r="R293" s="107"/>
      <c r="S293" s="107"/>
      <c r="T293" s="107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</row>
    <row r="294" spans="2:36" x14ac:dyDescent="0.25">
      <c r="B294" s="68"/>
      <c r="C294" s="68"/>
      <c r="D294" s="70"/>
      <c r="E294" s="68"/>
      <c r="F294" s="96"/>
      <c r="G294" s="95" t="str">
        <f t="shared" si="4"/>
        <v/>
      </c>
      <c r="H294" s="91" t="str">
        <f>IF(E294&lt;&gt;"",E294/'Project Summary'!$C$9,"")</f>
        <v/>
      </c>
      <c r="I294" s="97" t="str">
        <f>IF(F294&lt;&gt;"",F294/'Project Summary'!$C$10, "")</f>
        <v/>
      </c>
      <c r="J294" s="68"/>
      <c r="K294" s="69"/>
      <c r="L294" s="102"/>
      <c r="M294" s="102"/>
      <c r="N294" s="68"/>
      <c r="O294" s="68"/>
      <c r="P294" s="106"/>
      <c r="Q294" s="107"/>
      <c r="R294" s="107"/>
      <c r="S294" s="107"/>
      <c r="T294" s="107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</row>
    <row r="295" spans="2:36" x14ac:dyDescent="0.25">
      <c r="B295" s="68"/>
      <c r="C295" s="68"/>
      <c r="D295" s="70"/>
      <c r="E295" s="68"/>
      <c r="F295" s="96"/>
      <c r="G295" s="95" t="str">
        <f t="shared" si="4"/>
        <v/>
      </c>
      <c r="H295" s="91" t="str">
        <f>IF(E295&lt;&gt;"",E295/'Project Summary'!$C$9,"")</f>
        <v/>
      </c>
      <c r="I295" s="97" t="str">
        <f>IF(F295&lt;&gt;"",F295/'Project Summary'!$C$10, "")</f>
        <v/>
      </c>
      <c r="J295" s="68"/>
      <c r="K295" s="69"/>
      <c r="L295" s="102"/>
      <c r="M295" s="102"/>
      <c r="N295" s="68"/>
      <c r="O295" s="68"/>
      <c r="P295" s="106"/>
      <c r="Q295" s="107"/>
      <c r="R295" s="107"/>
      <c r="S295" s="107"/>
      <c r="T295" s="107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</row>
    <row r="296" spans="2:36" x14ac:dyDescent="0.25">
      <c r="B296" s="68"/>
      <c r="C296" s="68"/>
      <c r="D296" s="70"/>
      <c r="E296" s="68"/>
      <c r="F296" s="96"/>
      <c r="G296" s="95" t="str">
        <f t="shared" si="4"/>
        <v/>
      </c>
      <c r="H296" s="91" t="str">
        <f>IF(E296&lt;&gt;"",E296/'Project Summary'!$C$9,"")</f>
        <v/>
      </c>
      <c r="I296" s="97" t="str">
        <f>IF(F296&lt;&gt;"",F296/'Project Summary'!$C$10, "")</f>
        <v/>
      </c>
      <c r="J296" s="68"/>
      <c r="K296" s="69"/>
      <c r="L296" s="102"/>
      <c r="M296" s="102"/>
      <c r="N296" s="68"/>
      <c r="O296" s="68"/>
      <c r="P296" s="106"/>
      <c r="Q296" s="107"/>
      <c r="R296" s="107"/>
      <c r="S296" s="107"/>
      <c r="T296" s="107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</row>
    <row r="297" spans="2:36" x14ac:dyDescent="0.25">
      <c r="B297" s="68"/>
      <c r="C297" s="68"/>
      <c r="D297" s="70"/>
      <c r="E297" s="68"/>
      <c r="F297" s="96"/>
      <c r="G297" s="95" t="str">
        <f t="shared" si="4"/>
        <v/>
      </c>
      <c r="H297" s="91" t="str">
        <f>IF(E297&lt;&gt;"",E297/'Project Summary'!$C$9,"")</f>
        <v/>
      </c>
      <c r="I297" s="97" t="str">
        <f>IF(F297&lt;&gt;"",F297/'Project Summary'!$C$10, "")</f>
        <v/>
      </c>
      <c r="J297" s="68"/>
      <c r="K297" s="69"/>
      <c r="L297" s="102"/>
      <c r="M297" s="102"/>
      <c r="N297" s="68"/>
      <c r="O297" s="68"/>
      <c r="P297" s="106"/>
      <c r="Q297" s="107"/>
      <c r="R297" s="107"/>
      <c r="S297" s="107"/>
      <c r="T297" s="107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</row>
    <row r="298" spans="2:36" x14ac:dyDescent="0.25">
      <c r="B298" s="68"/>
      <c r="C298" s="68"/>
      <c r="D298" s="70"/>
      <c r="E298" s="68"/>
      <c r="F298" s="96"/>
      <c r="G298" s="95" t="str">
        <f t="shared" si="4"/>
        <v/>
      </c>
      <c r="H298" s="91" t="str">
        <f>IF(E298&lt;&gt;"",E298/'Project Summary'!$C$9,"")</f>
        <v/>
      </c>
      <c r="I298" s="97" t="str">
        <f>IF(F298&lt;&gt;"",F298/'Project Summary'!$C$10, "")</f>
        <v/>
      </c>
      <c r="J298" s="68"/>
      <c r="K298" s="69"/>
      <c r="L298" s="102"/>
      <c r="M298" s="102"/>
      <c r="N298" s="68"/>
      <c r="O298" s="68"/>
      <c r="P298" s="106"/>
      <c r="Q298" s="107"/>
      <c r="R298" s="107"/>
      <c r="S298" s="107"/>
      <c r="T298" s="107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</row>
    <row r="299" spans="2:36" x14ac:dyDescent="0.25">
      <c r="B299" s="68"/>
      <c r="C299" s="68"/>
      <c r="D299" s="70"/>
      <c r="E299" s="68"/>
      <c r="F299" s="96"/>
      <c r="G299" s="95" t="str">
        <f t="shared" si="4"/>
        <v/>
      </c>
      <c r="H299" s="91" t="str">
        <f>IF(E299&lt;&gt;"",E299/'Project Summary'!$C$9,"")</f>
        <v/>
      </c>
      <c r="I299" s="97" t="str">
        <f>IF(F299&lt;&gt;"",F299/'Project Summary'!$C$10, "")</f>
        <v/>
      </c>
      <c r="J299" s="68"/>
      <c r="K299" s="69"/>
      <c r="L299" s="102"/>
      <c r="M299" s="102"/>
      <c r="N299" s="68"/>
      <c r="O299" s="68"/>
      <c r="P299" s="106"/>
      <c r="Q299" s="107"/>
      <c r="R299" s="107"/>
      <c r="S299" s="107"/>
      <c r="T299" s="107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</row>
    <row r="300" spans="2:36" x14ac:dyDescent="0.25">
      <c r="B300" s="68"/>
      <c r="C300" s="68"/>
      <c r="D300" s="70"/>
      <c r="E300" s="68"/>
      <c r="F300" s="96"/>
      <c r="G300" s="95" t="str">
        <f t="shared" si="4"/>
        <v/>
      </c>
      <c r="H300" s="91" t="str">
        <f>IF(E300&lt;&gt;"",E300/'Project Summary'!$C$9,"")</f>
        <v/>
      </c>
      <c r="I300" s="97" t="str">
        <f>IF(F300&lt;&gt;"",F300/'Project Summary'!$C$10, "")</f>
        <v/>
      </c>
      <c r="J300" s="68"/>
      <c r="K300" s="69"/>
      <c r="L300" s="102"/>
      <c r="M300" s="102"/>
      <c r="N300" s="68"/>
      <c r="O300" s="68"/>
      <c r="P300" s="106"/>
      <c r="Q300" s="107"/>
      <c r="R300" s="107"/>
      <c r="S300" s="107"/>
      <c r="T300" s="107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</row>
    <row r="301" spans="2:36" x14ac:dyDescent="0.25">
      <c r="B301" s="68"/>
      <c r="C301" s="68"/>
      <c r="D301" s="70"/>
      <c r="E301" s="68"/>
      <c r="F301" s="96"/>
      <c r="G301" s="95" t="str">
        <f t="shared" si="4"/>
        <v/>
      </c>
      <c r="H301" s="91" t="str">
        <f>IF(E301&lt;&gt;"",E301/'Project Summary'!$C$9,"")</f>
        <v/>
      </c>
      <c r="I301" s="97" t="str">
        <f>IF(F301&lt;&gt;"",F301/'Project Summary'!$C$10, "")</f>
        <v/>
      </c>
      <c r="J301" s="68"/>
      <c r="K301" s="69"/>
      <c r="L301" s="102"/>
      <c r="M301" s="102"/>
      <c r="N301" s="68"/>
      <c r="O301" s="68"/>
      <c r="P301" s="106"/>
      <c r="Q301" s="107"/>
      <c r="R301" s="107"/>
      <c r="S301" s="107"/>
      <c r="T301" s="107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</row>
    <row r="302" spans="2:36" x14ac:dyDescent="0.25">
      <c r="B302" s="68"/>
      <c r="C302" s="68"/>
      <c r="D302" s="70"/>
      <c r="E302" s="68"/>
      <c r="F302" s="96"/>
      <c r="G302" s="95" t="str">
        <f t="shared" si="4"/>
        <v/>
      </c>
      <c r="H302" s="91" t="str">
        <f>IF(E302&lt;&gt;"",E302/'Project Summary'!$C$9,"")</f>
        <v/>
      </c>
      <c r="I302" s="97" t="str">
        <f>IF(F302&lt;&gt;"",F302/'Project Summary'!$C$10, "")</f>
        <v/>
      </c>
      <c r="J302" s="68"/>
      <c r="K302" s="69"/>
      <c r="L302" s="102"/>
      <c r="M302" s="102"/>
      <c r="N302" s="68"/>
      <c r="O302" s="68"/>
      <c r="P302" s="106"/>
      <c r="Q302" s="107"/>
      <c r="R302" s="107"/>
      <c r="S302" s="107"/>
      <c r="T302" s="107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</row>
    <row r="303" spans="2:36" x14ac:dyDescent="0.25">
      <c r="B303" s="68"/>
      <c r="C303" s="68"/>
      <c r="D303" s="70"/>
      <c r="E303" s="68"/>
      <c r="F303" s="96"/>
      <c r="G303" s="95" t="str">
        <f t="shared" si="4"/>
        <v/>
      </c>
      <c r="H303" s="91" t="str">
        <f>IF(E303&lt;&gt;"",E303/'Project Summary'!$C$9,"")</f>
        <v/>
      </c>
      <c r="I303" s="97" t="str">
        <f>IF(F303&lt;&gt;"",F303/'Project Summary'!$C$10, "")</f>
        <v/>
      </c>
      <c r="J303" s="68"/>
      <c r="K303" s="69"/>
      <c r="L303" s="102"/>
      <c r="M303" s="102"/>
      <c r="N303" s="68"/>
      <c r="O303" s="68"/>
      <c r="P303" s="106"/>
      <c r="Q303" s="107"/>
      <c r="R303" s="107"/>
      <c r="S303" s="107"/>
      <c r="T303" s="107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</row>
    <row r="304" spans="2:36" x14ac:dyDescent="0.25">
      <c r="B304" s="68"/>
      <c r="C304" s="68"/>
      <c r="D304" s="70"/>
      <c r="E304" s="68"/>
      <c r="F304" s="96"/>
      <c r="G304" s="95" t="str">
        <f t="shared" si="4"/>
        <v/>
      </c>
      <c r="H304" s="91" t="str">
        <f>IF(E304&lt;&gt;"",E304/'Project Summary'!$C$9,"")</f>
        <v/>
      </c>
      <c r="I304" s="97" t="str">
        <f>IF(F304&lt;&gt;"",F304/'Project Summary'!$C$10, "")</f>
        <v/>
      </c>
      <c r="J304" s="68"/>
      <c r="K304" s="69"/>
      <c r="L304" s="102"/>
      <c r="M304" s="102"/>
      <c r="N304" s="68"/>
      <c r="O304" s="68"/>
      <c r="P304" s="106"/>
      <c r="Q304" s="107"/>
      <c r="R304" s="107"/>
      <c r="S304" s="107"/>
      <c r="T304" s="107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</row>
    <row r="305" spans="2:36" x14ac:dyDescent="0.25">
      <c r="B305" s="68"/>
      <c r="C305" s="68"/>
      <c r="D305" s="70"/>
      <c r="E305" s="68"/>
      <c r="F305" s="96"/>
      <c r="G305" s="95" t="str">
        <f t="shared" si="4"/>
        <v/>
      </c>
      <c r="H305" s="91" t="str">
        <f>IF(E305&lt;&gt;"",E305/'Project Summary'!$C$9,"")</f>
        <v/>
      </c>
      <c r="I305" s="97" t="str">
        <f>IF(F305&lt;&gt;"",F305/'Project Summary'!$C$10, "")</f>
        <v/>
      </c>
      <c r="J305" s="68"/>
      <c r="K305" s="69"/>
      <c r="L305" s="102"/>
      <c r="M305" s="102"/>
      <c r="N305" s="68"/>
      <c r="O305" s="68"/>
      <c r="P305" s="106"/>
      <c r="Q305" s="107"/>
      <c r="R305" s="107"/>
      <c r="S305" s="107"/>
      <c r="T305" s="107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</row>
    <row r="306" spans="2:36" x14ac:dyDescent="0.25">
      <c r="B306" s="68"/>
      <c r="C306" s="68"/>
      <c r="D306" s="70"/>
      <c r="E306" s="68"/>
      <c r="F306" s="96"/>
      <c r="G306" s="95" t="str">
        <f t="shared" si="4"/>
        <v/>
      </c>
      <c r="H306" s="91" t="str">
        <f>IF(E306&lt;&gt;"",E306/'Project Summary'!$C$9,"")</f>
        <v/>
      </c>
      <c r="I306" s="97" t="str">
        <f>IF(F306&lt;&gt;"",F306/'Project Summary'!$C$10, "")</f>
        <v/>
      </c>
      <c r="J306" s="68"/>
      <c r="K306" s="69"/>
      <c r="L306" s="102"/>
      <c r="M306" s="102"/>
      <c r="N306" s="68"/>
      <c r="O306" s="68"/>
      <c r="P306" s="106"/>
      <c r="Q306" s="107"/>
      <c r="R306" s="107"/>
      <c r="S306" s="107"/>
      <c r="T306" s="107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</row>
    <row r="307" spans="2:36" x14ac:dyDescent="0.25">
      <c r="B307" s="68"/>
      <c r="C307" s="68"/>
      <c r="D307" s="70"/>
      <c r="E307" s="68"/>
      <c r="F307" s="96"/>
      <c r="G307" s="95" t="str">
        <f t="shared" si="4"/>
        <v/>
      </c>
      <c r="H307" s="91" t="str">
        <f>IF(E307&lt;&gt;"",E307/'Project Summary'!$C$9,"")</f>
        <v/>
      </c>
      <c r="I307" s="97" t="str">
        <f>IF(F307&lt;&gt;"",F307/'Project Summary'!$C$10, "")</f>
        <v/>
      </c>
      <c r="J307" s="68"/>
      <c r="K307" s="69"/>
      <c r="L307" s="102"/>
      <c r="M307" s="102"/>
      <c r="N307" s="68"/>
      <c r="O307" s="68"/>
      <c r="P307" s="106"/>
      <c r="Q307" s="107"/>
      <c r="R307" s="107"/>
      <c r="S307" s="107"/>
      <c r="T307" s="107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</row>
    <row r="308" spans="2:36" x14ac:dyDescent="0.25">
      <c r="B308" s="68"/>
      <c r="C308" s="68"/>
      <c r="D308" s="70"/>
      <c r="E308" s="68"/>
      <c r="F308" s="96"/>
      <c r="G308" s="95" t="str">
        <f t="shared" si="4"/>
        <v/>
      </c>
      <c r="H308" s="91" t="str">
        <f>IF(E308&lt;&gt;"",E308/'Project Summary'!$C$9,"")</f>
        <v/>
      </c>
      <c r="I308" s="97" t="str">
        <f>IF(F308&lt;&gt;"",F308/'Project Summary'!$C$10, "")</f>
        <v/>
      </c>
      <c r="J308" s="68"/>
      <c r="K308" s="69"/>
      <c r="L308" s="102"/>
      <c r="M308" s="102"/>
      <c r="N308" s="68"/>
      <c r="O308" s="68"/>
      <c r="P308" s="106"/>
      <c r="Q308" s="107"/>
      <c r="R308" s="107"/>
      <c r="S308" s="107"/>
      <c r="T308" s="107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</row>
    <row r="309" spans="2:36" x14ac:dyDescent="0.25">
      <c r="B309" s="68"/>
      <c r="C309" s="68"/>
      <c r="D309" s="70"/>
      <c r="E309" s="68"/>
      <c r="F309" s="96"/>
      <c r="G309" s="95" t="str">
        <f t="shared" si="4"/>
        <v/>
      </c>
      <c r="H309" s="91" t="str">
        <f>IF(E309&lt;&gt;"",E309/'Project Summary'!$C$9,"")</f>
        <v/>
      </c>
      <c r="I309" s="97" t="str">
        <f>IF(F309&lt;&gt;"",F309/'Project Summary'!$C$10, "")</f>
        <v/>
      </c>
      <c r="J309" s="68"/>
      <c r="K309" s="69"/>
      <c r="L309" s="102"/>
      <c r="M309" s="102"/>
      <c r="N309" s="68"/>
      <c r="O309" s="68"/>
      <c r="P309" s="106"/>
      <c r="Q309" s="107"/>
      <c r="R309" s="107"/>
      <c r="S309" s="107"/>
      <c r="T309" s="107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</row>
    <row r="310" spans="2:36" x14ac:dyDescent="0.25">
      <c r="B310" s="68"/>
      <c r="C310" s="68"/>
      <c r="D310" s="70"/>
      <c r="E310" s="68"/>
      <c r="F310" s="96"/>
      <c r="G310" s="95" t="str">
        <f t="shared" si="4"/>
        <v/>
      </c>
      <c r="H310" s="91" t="str">
        <f>IF(E310&lt;&gt;"",E310/'Project Summary'!$C$9,"")</f>
        <v/>
      </c>
      <c r="I310" s="97" t="str">
        <f>IF(F310&lt;&gt;"",F310/'Project Summary'!$C$10, "")</f>
        <v/>
      </c>
      <c r="J310" s="68"/>
      <c r="K310" s="69"/>
      <c r="L310" s="102"/>
      <c r="M310" s="102"/>
      <c r="N310" s="68"/>
      <c r="O310" s="68"/>
      <c r="P310" s="106"/>
      <c r="Q310" s="107"/>
      <c r="R310" s="107"/>
      <c r="S310" s="107"/>
      <c r="T310" s="107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</row>
    <row r="311" spans="2:36" x14ac:dyDescent="0.25">
      <c r="B311" s="68"/>
      <c r="C311" s="68"/>
      <c r="D311" s="70"/>
      <c r="E311" s="68"/>
      <c r="F311" s="96"/>
      <c r="G311" s="95" t="str">
        <f t="shared" si="4"/>
        <v/>
      </c>
      <c r="H311" s="91" t="str">
        <f>IF(E311&lt;&gt;"",E311/'Project Summary'!$C$9,"")</f>
        <v/>
      </c>
      <c r="I311" s="97" t="str">
        <f>IF(F311&lt;&gt;"",F311/'Project Summary'!$C$10, "")</f>
        <v/>
      </c>
      <c r="J311" s="68"/>
      <c r="K311" s="69"/>
      <c r="L311" s="102"/>
      <c r="M311" s="102"/>
      <c r="N311" s="68"/>
      <c r="O311" s="68"/>
      <c r="P311" s="106"/>
      <c r="Q311" s="107"/>
      <c r="R311" s="107"/>
      <c r="S311" s="107"/>
      <c r="T311" s="107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</row>
    <row r="312" spans="2:36" x14ac:dyDescent="0.25">
      <c r="B312" s="68"/>
      <c r="C312" s="68"/>
      <c r="D312" s="70"/>
      <c r="E312" s="68"/>
      <c r="F312" s="96"/>
      <c r="G312" s="95" t="str">
        <f t="shared" si="4"/>
        <v/>
      </c>
      <c r="H312" s="91" t="str">
        <f>IF(E312&lt;&gt;"",E312/'Project Summary'!$C$9,"")</f>
        <v/>
      </c>
      <c r="I312" s="97" t="str">
        <f>IF(F312&lt;&gt;"",F312/'Project Summary'!$C$10, "")</f>
        <v/>
      </c>
      <c r="J312" s="68"/>
      <c r="K312" s="69"/>
      <c r="L312" s="102"/>
      <c r="M312" s="102"/>
      <c r="N312" s="68"/>
      <c r="O312" s="68"/>
      <c r="P312" s="106"/>
      <c r="Q312" s="107"/>
      <c r="R312" s="107"/>
      <c r="S312" s="107"/>
      <c r="T312" s="107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</row>
    <row r="313" spans="2:36" x14ac:dyDescent="0.25">
      <c r="B313" s="68"/>
      <c r="C313" s="68"/>
      <c r="D313" s="70"/>
      <c r="E313" s="68"/>
      <c r="F313" s="96"/>
      <c r="G313" s="95" t="str">
        <f t="shared" si="4"/>
        <v/>
      </c>
      <c r="H313" s="91" t="str">
        <f>IF(E313&lt;&gt;"",E313/'Project Summary'!$C$9,"")</f>
        <v/>
      </c>
      <c r="I313" s="97" t="str">
        <f>IF(F313&lt;&gt;"",F313/'Project Summary'!$C$10, "")</f>
        <v/>
      </c>
      <c r="J313" s="68"/>
      <c r="K313" s="69"/>
      <c r="L313" s="102"/>
      <c r="M313" s="102"/>
      <c r="N313" s="68"/>
      <c r="O313" s="68"/>
      <c r="P313" s="106"/>
      <c r="Q313" s="107"/>
      <c r="R313" s="107"/>
      <c r="S313" s="107"/>
      <c r="T313" s="107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</row>
    <row r="314" spans="2:36" x14ac:dyDescent="0.25">
      <c r="B314" s="68"/>
      <c r="C314" s="68"/>
      <c r="D314" s="70"/>
      <c r="E314" s="68"/>
      <c r="F314" s="96"/>
      <c r="G314" s="95" t="str">
        <f t="shared" si="4"/>
        <v/>
      </c>
      <c r="H314" s="91" t="str">
        <f>IF(E314&lt;&gt;"",E314/'Project Summary'!$C$9,"")</f>
        <v/>
      </c>
      <c r="I314" s="97" t="str">
        <f>IF(F314&lt;&gt;"",F314/'Project Summary'!$C$10, "")</f>
        <v/>
      </c>
      <c r="J314" s="68"/>
      <c r="K314" s="69"/>
      <c r="L314" s="102"/>
      <c r="M314" s="102"/>
      <c r="N314" s="68"/>
      <c r="O314" s="68"/>
      <c r="P314" s="106"/>
      <c r="Q314" s="107"/>
      <c r="R314" s="107"/>
      <c r="S314" s="107"/>
      <c r="T314" s="107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</row>
    <row r="315" spans="2:36" x14ac:dyDescent="0.25">
      <c r="B315" s="68"/>
      <c r="C315" s="68"/>
      <c r="D315" s="70"/>
      <c r="E315" s="68"/>
      <c r="F315" s="96"/>
      <c r="G315" s="95" t="str">
        <f t="shared" si="4"/>
        <v/>
      </c>
      <c r="H315" s="91" t="str">
        <f>IF(E315&lt;&gt;"",E315/'Project Summary'!$C$9,"")</f>
        <v/>
      </c>
      <c r="I315" s="97" t="str">
        <f>IF(F315&lt;&gt;"",F315/'Project Summary'!$C$10, "")</f>
        <v/>
      </c>
      <c r="J315" s="68"/>
      <c r="K315" s="69"/>
      <c r="L315" s="102"/>
      <c r="M315" s="102"/>
      <c r="N315" s="68"/>
      <c r="O315" s="68"/>
      <c r="P315" s="106"/>
      <c r="Q315" s="107"/>
      <c r="R315" s="107"/>
      <c r="S315" s="107"/>
      <c r="T315" s="107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</row>
    <row r="316" spans="2:36" x14ac:dyDescent="0.25">
      <c r="B316" s="68"/>
      <c r="C316" s="68"/>
      <c r="D316" s="70"/>
      <c r="E316" s="68"/>
      <c r="F316" s="96"/>
      <c r="G316" s="95" t="str">
        <f t="shared" si="4"/>
        <v/>
      </c>
      <c r="H316" s="91" t="str">
        <f>IF(E316&lt;&gt;"",E316/'Project Summary'!$C$9,"")</f>
        <v/>
      </c>
      <c r="I316" s="97" t="str">
        <f>IF(F316&lt;&gt;"",F316/'Project Summary'!$C$10, "")</f>
        <v/>
      </c>
      <c r="J316" s="68"/>
      <c r="K316" s="69"/>
      <c r="L316" s="102"/>
      <c r="M316" s="102"/>
      <c r="N316" s="68"/>
      <c r="O316" s="68"/>
      <c r="P316" s="106"/>
      <c r="Q316" s="107"/>
      <c r="R316" s="107"/>
      <c r="S316" s="107"/>
      <c r="T316" s="107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</row>
    <row r="317" spans="2:36" x14ac:dyDescent="0.25">
      <c r="B317" s="68"/>
      <c r="C317" s="68"/>
      <c r="D317" s="70"/>
      <c r="E317" s="68"/>
      <c r="F317" s="96"/>
      <c r="G317" s="95" t="str">
        <f t="shared" si="4"/>
        <v/>
      </c>
      <c r="H317" s="91" t="str">
        <f>IF(E317&lt;&gt;"",E317/'Project Summary'!$C$9,"")</f>
        <v/>
      </c>
      <c r="I317" s="97" t="str">
        <f>IF(F317&lt;&gt;"",F317/'Project Summary'!$C$10, "")</f>
        <v/>
      </c>
      <c r="J317" s="68"/>
      <c r="K317" s="69"/>
      <c r="L317" s="102"/>
      <c r="M317" s="102"/>
      <c r="N317" s="68"/>
      <c r="O317" s="68"/>
      <c r="P317" s="106"/>
      <c r="Q317" s="107"/>
      <c r="R317" s="107"/>
      <c r="S317" s="107"/>
      <c r="T317" s="107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</row>
    <row r="318" spans="2:36" x14ac:dyDescent="0.25">
      <c r="B318" s="68"/>
      <c r="C318" s="68"/>
      <c r="D318" s="70"/>
      <c r="E318" s="68"/>
      <c r="F318" s="96"/>
      <c r="G318" s="95" t="str">
        <f t="shared" si="4"/>
        <v/>
      </c>
      <c r="H318" s="91" t="str">
        <f>IF(E318&lt;&gt;"",E318/'Project Summary'!$C$9,"")</f>
        <v/>
      </c>
      <c r="I318" s="97" t="str">
        <f>IF(F318&lt;&gt;"",F318/'Project Summary'!$C$10, "")</f>
        <v/>
      </c>
      <c r="J318" s="68"/>
      <c r="K318" s="69"/>
      <c r="L318" s="102"/>
      <c r="M318" s="102"/>
      <c r="N318" s="68"/>
      <c r="O318" s="68"/>
      <c r="P318" s="106"/>
      <c r="Q318" s="107"/>
      <c r="R318" s="107"/>
      <c r="S318" s="107"/>
      <c r="T318" s="107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</row>
    <row r="319" spans="2:36" x14ac:dyDescent="0.25">
      <c r="B319" s="68"/>
      <c r="C319" s="68"/>
      <c r="D319" s="70"/>
      <c r="E319" s="68"/>
      <c r="F319" s="96"/>
      <c r="G319" s="95" t="str">
        <f t="shared" si="4"/>
        <v/>
      </c>
      <c r="H319" s="91" t="str">
        <f>IF(E319&lt;&gt;"",E319/'Project Summary'!$C$9,"")</f>
        <v/>
      </c>
      <c r="I319" s="97" t="str">
        <f>IF(F319&lt;&gt;"",F319/'Project Summary'!$C$10, "")</f>
        <v/>
      </c>
      <c r="J319" s="68"/>
      <c r="K319" s="69"/>
      <c r="L319" s="102"/>
      <c r="M319" s="102"/>
      <c r="N319" s="68"/>
      <c r="O319" s="68"/>
      <c r="P319" s="106"/>
      <c r="Q319" s="107"/>
      <c r="R319" s="107"/>
      <c r="S319" s="107"/>
      <c r="T319" s="107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</row>
    <row r="320" spans="2:36" x14ac:dyDescent="0.25">
      <c r="B320" s="68"/>
      <c r="C320" s="68"/>
      <c r="D320" s="70"/>
      <c r="E320" s="68"/>
      <c r="F320" s="96"/>
      <c r="G320" s="95" t="str">
        <f t="shared" si="4"/>
        <v/>
      </c>
      <c r="H320" s="91" t="str">
        <f>IF(E320&lt;&gt;"",E320/'Project Summary'!$C$9,"")</f>
        <v/>
      </c>
      <c r="I320" s="97" t="str">
        <f>IF(F320&lt;&gt;"",F320/'Project Summary'!$C$10, "")</f>
        <v/>
      </c>
      <c r="J320" s="68"/>
      <c r="K320" s="69"/>
      <c r="L320" s="102"/>
      <c r="M320" s="102"/>
      <c r="N320" s="68"/>
      <c r="O320" s="68"/>
      <c r="P320" s="106"/>
      <c r="Q320" s="107"/>
      <c r="R320" s="107"/>
      <c r="S320" s="107"/>
      <c r="T320" s="107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</row>
    <row r="321" spans="2:36" x14ac:dyDescent="0.25">
      <c r="B321" s="68"/>
      <c r="C321" s="68"/>
      <c r="D321" s="70"/>
      <c r="E321" s="68"/>
      <c r="F321" s="96"/>
      <c r="G321" s="95" t="str">
        <f t="shared" si="4"/>
        <v/>
      </c>
      <c r="H321" s="91" t="str">
        <f>IF(E321&lt;&gt;"",E321/'Project Summary'!$C$9,"")</f>
        <v/>
      </c>
      <c r="I321" s="97" t="str">
        <f>IF(F321&lt;&gt;"",F321/'Project Summary'!$C$10, "")</f>
        <v/>
      </c>
      <c r="J321" s="68"/>
      <c r="K321" s="69"/>
      <c r="L321" s="102"/>
      <c r="M321" s="102"/>
      <c r="N321" s="68"/>
      <c r="O321" s="68"/>
      <c r="P321" s="106"/>
      <c r="Q321" s="107"/>
      <c r="R321" s="107"/>
      <c r="S321" s="107"/>
      <c r="T321" s="107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</row>
    <row r="322" spans="2:36" x14ac:dyDescent="0.25">
      <c r="B322" s="68"/>
      <c r="C322" s="68"/>
      <c r="D322" s="70"/>
      <c r="E322" s="68"/>
      <c r="F322" s="96"/>
      <c r="G322" s="95" t="str">
        <f t="shared" si="4"/>
        <v/>
      </c>
      <c r="H322" s="91" t="str">
        <f>IF(E322&lt;&gt;"",E322/'Project Summary'!$C$9,"")</f>
        <v/>
      </c>
      <c r="I322" s="97" t="str">
        <f>IF(F322&lt;&gt;"",F322/'Project Summary'!$C$10, "")</f>
        <v/>
      </c>
      <c r="J322" s="68"/>
      <c r="K322" s="69"/>
      <c r="L322" s="102"/>
      <c r="M322" s="102"/>
      <c r="N322" s="68"/>
      <c r="O322" s="68"/>
      <c r="P322" s="106"/>
      <c r="Q322" s="107"/>
      <c r="R322" s="107"/>
      <c r="S322" s="107"/>
      <c r="T322" s="107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</row>
    <row r="323" spans="2:36" x14ac:dyDescent="0.25">
      <c r="B323" s="68"/>
      <c r="C323" s="68"/>
      <c r="D323" s="70"/>
      <c r="E323" s="68"/>
      <c r="F323" s="96"/>
      <c r="G323" s="95" t="str">
        <f t="shared" si="4"/>
        <v/>
      </c>
      <c r="H323" s="91" t="str">
        <f>IF(E323&lt;&gt;"",E323/'Project Summary'!$C$9,"")</f>
        <v/>
      </c>
      <c r="I323" s="97" t="str">
        <f>IF(F323&lt;&gt;"",F323/'Project Summary'!$C$10, "")</f>
        <v/>
      </c>
      <c r="J323" s="68"/>
      <c r="K323" s="69"/>
      <c r="L323" s="102"/>
      <c r="M323" s="102"/>
      <c r="N323" s="68"/>
      <c r="O323" s="68"/>
      <c r="P323" s="106"/>
      <c r="Q323" s="107"/>
      <c r="R323" s="107"/>
      <c r="S323" s="107"/>
      <c r="T323" s="107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</row>
    <row r="324" spans="2:36" x14ac:dyDescent="0.25">
      <c r="B324" s="68"/>
      <c r="C324" s="68"/>
      <c r="D324" s="70"/>
      <c r="E324" s="68"/>
      <c r="F324" s="96"/>
      <c r="G324" s="95" t="str">
        <f t="shared" si="4"/>
        <v/>
      </c>
      <c r="H324" s="91" t="str">
        <f>IF(E324&lt;&gt;"",E324/'Project Summary'!$C$9,"")</f>
        <v/>
      </c>
      <c r="I324" s="97" t="str">
        <f>IF(F324&lt;&gt;"",F324/'Project Summary'!$C$10, "")</f>
        <v/>
      </c>
      <c r="J324" s="68"/>
      <c r="K324" s="69"/>
      <c r="L324" s="102"/>
      <c r="M324" s="102"/>
      <c r="N324" s="68"/>
      <c r="O324" s="68"/>
      <c r="P324" s="106"/>
      <c r="Q324" s="107"/>
      <c r="R324" s="107"/>
      <c r="S324" s="107"/>
      <c r="T324" s="107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</row>
    <row r="325" spans="2:36" x14ac:dyDescent="0.25">
      <c r="B325" s="68"/>
      <c r="C325" s="68"/>
      <c r="D325" s="70"/>
      <c r="E325" s="68"/>
      <c r="F325" s="96"/>
      <c r="G325" s="95" t="str">
        <f t="shared" si="4"/>
        <v/>
      </c>
      <c r="H325" s="91" t="str">
        <f>IF(E325&lt;&gt;"",E325/'Project Summary'!$C$9,"")</f>
        <v/>
      </c>
      <c r="I325" s="97" t="str">
        <f>IF(F325&lt;&gt;"",F325/'Project Summary'!$C$10, "")</f>
        <v/>
      </c>
      <c r="J325" s="68"/>
      <c r="K325" s="69"/>
      <c r="L325" s="102"/>
      <c r="M325" s="102"/>
      <c r="N325" s="68"/>
      <c r="O325" s="68"/>
      <c r="P325" s="106"/>
      <c r="Q325" s="107"/>
      <c r="R325" s="107"/>
      <c r="S325" s="107"/>
      <c r="T325" s="107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</row>
    <row r="326" spans="2:36" x14ac:dyDescent="0.25">
      <c r="B326" s="68"/>
      <c r="C326" s="68"/>
      <c r="D326" s="70"/>
      <c r="E326" s="68"/>
      <c r="F326" s="96"/>
      <c r="G326" s="95" t="str">
        <f t="shared" si="4"/>
        <v/>
      </c>
      <c r="H326" s="91" t="str">
        <f>IF(E326&lt;&gt;"",E326/'Project Summary'!$C$9,"")</f>
        <v/>
      </c>
      <c r="I326" s="97" t="str">
        <f>IF(F326&lt;&gt;"",F326/'Project Summary'!$C$10, "")</f>
        <v/>
      </c>
      <c r="J326" s="68"/>
      <c r="K326" s="69"/>
      <c r="L326" s="102"/>
      <c r="M326" s="102"/>
      <c r="N326" s="68"/>
      <c r="O326" s="68"/>
      <c r="P326" s="106"/>
      <c r="Q326" s="107"/>
      <c r="R326" s="107"/>
      <c r="S326" s="107"/>
      <c r="T326" s="107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</row>
    <row r="327" spans="2:36" x14ac:dyDescent="0.25">
      <c r="B327" s="68"/>
      <c r="C327" s="68"/>
      <c r="D327" s="70"/>
      <c r="E327" s="68"/>
      <c r="F327" s="96"/>
      <c r="G327" s="95" t="str">
        <f t="shared" si="4"/>
        <v/>
      </c>
      <c r="H327" s="91" t="str">
        <f>IF(E327&lt;&gt;"",E327/'Project Summary'!$C$9,"")</f>
        <v/>
      </c>
      <c r="I327" s="97" t="str">
        <f>IF(F327&lt;&gt;"",F327/'Project Summary'!$C$10, "")</f>
        <v/>
      </c>
      <c r="J327" s="68"/>
      <c r="K327" s="69"/>
      <c r="L327" s="102"/>
      <c r="M327" s="102"/>
      <c r="N327" s="68"/>
      <c r="O327" s="68"/>
      <c r="P327" s="106"/>
      <c r="Q327" s="107"/>
      <c r="R327" s="107"/>
      <c r="S327" s="107"/>
      <c r="T327" s="107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</row>
    <row r="328" spans="2:36" x14ac:dyDescent="0.25">
      <c r="B328" s="68"/>
      <c r="C328" s="68"/>
      <c r="D328" s="70"/>
      <c r="E328" s="68"/>
      <c r="F328" s="96"/>
      <c r="G328" s="95" t="str">
        <f t="shared" si="4"/>
        <v/>
      </c>
      <c r="H328" s="91" t="str">
        <f>IF(E328&lt;&gt;"",E328/'Project Summary'!$C$9,"")</f>
        <v/>
      </c>
      <c r="I328" s="97" t="str">
        <f>IF(F328&lt;&gt;"",F328/'Project Summary'!$C$10, "")</f>
        <v/>
      </c>
      <c r="J328" s="68"/>
      <c r="K328" s="69"/>
      <c r="L328" s="102"/>
      <c r="M328" s="102"/>
      <c r="N328" s="68"/>
      <c r="O328" s="68"/>
      <c r="P328" s="106"/>
      <c r="Q328" s="107"/>
      <c r="R328" s="107"/>
      <c r="S328" s="107"/>
      <c r="T328" s="107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</row>
    <row r="329" spans="2:36" x14ac:dyDescent="0.25">
      <c r="B329" s="68"/>
      <c r="C329" s="68"/>
      <c r="D329" s="70"/>
      <c r="E329" s="68"/>
      <c r="F329" s="96"/>
      <c r="G329" s="95" t="str">
        <f t="shared" si="4"/>
        <v/>
      </c>
      <c r="H329" s="91" t="str">
        <f>IF(E329&lt;&gt;"",E329/'Project Summary'!$C$9,"")</f>
        <v/>
      </c>
      <c r="I329" s="97" t="str">
        <f>IF(F329&lt;&gt;"",F329/'Project Summary'!$C$10, "")</f>
        <v/>
      </c>
      <c r="J329" s="68"/>
      <c r="K329" s="69"/>
      <c r="L329" s="102"/>
      <c r="M329" s="102"/>
      <c r="N329" s="68"/>
      <c r="O329" s="68"/>
      <c r="P329" s="106"/>
      <c r="Q329" s="107"/>
      <c r="R329" s="107"/>
      <c r="S329" s="107"/>
      <c r="T329" s="107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</row>
    <row r="330" spans="2:36" x14ac:dyDescent="0.25">
      <c r="B330" s="68"/>
      <c r="C330" s="68"/>
      <c r="D330" s="70"/>
      <c r="E330" s="68"/>
      <c r="F330" s="96"/>
      <c r="G330" s="95" t="str">
        <f t="shared" si="4"/>
        <v/>
      </c>
      <c r="H330" s="91" t="str">
        <f>IF(E330&lt;&gt;"",E330/'Project Summary'!$C$9,"")</f>
        <v/>
      </c>
      <c r="I330" s="97" t="str">
        <f>IF(F330&lt;&gt;"",F330/'Project Summary'!$C$10, "")</f>
        <v/>
      </c>
      <c r="J330" s="68"/>
      <c r="K330" s="69"/>
      <c r="L330" s="102"/>
      <c r="M330" s="102"/>
      <c r="N330" s="68"/>
      <c r="O330" s="68"/>
      <c r="P330" s="106"/>
      <c r="Q330" s="107"/>
      <c r="R330" s="107"/>
      <c r="S330" s="107"/>
      <c r="T330" s="107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</row>
    <row r="331" spans="2:36" x14ac:dyDescent="0.25">
      <c r="B331" s="68"/>
      <c r="C331" s="68"/>
      <c r="D331" s="70"/>
      <c r="E331" s="68"/>
      <c r="F331" s="96"/>
      <c r="G331" s="95" t="str">
        <f t="shared" si="4"/>
        <v/>
      </c>
      <c r="H331" s="91" t="str">
        <f>IF(E331&lt;&gt;"",E331/'Project Summary'!$C$9,"")</f>
        <v/>
      </c>
      <c r="I331" s="97" t="str">
        <f>IF(F331&lt;&gt;"",F331/'Project Summary'!$C$10, "")</f>
        <v/>
      </c>
      <c r="J331" s="68"/>
      <c r="K331" s="69"/>
      <c r="L331" s="102"/>
      <c r="M331" s="102"/>
      <c r="N331" s="68"/>
      <c r="O331" s="68"/>
      <c r="P331" s="106"/>
      <c r="Q331" s="107"/>
      <c r="R331" s="107"/>
      <c r="S331" s="107"/>
      <c r="T331" s="107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</row>
    <row r="332" spans="2:36" x14ac:dyDescent="0.25">
      <c r="B332" s="68"/>
      <c r="C332" s="68"/>
      <c r="D332" s="70"/>
      <c r="E332" s="68"/>
      <c r="F332" s="96"/>
      <c r="G332" s="95" t="str">
        <f t="shared" ref="G332:G395" si="5">IF(D332&lt;&gt;"", D332/E332, "")</f>
        <v/>
      </c>
      <c r="H332" s="91" t="str">
        <f>IF(E332&lt;&gt;"",E332/'Project Summary'!$C$9,"")</f>
        <v/>
      </c>
      <c r="I332" s="97" t="str">
        <f>IF(F332&lt;&gt;"",F332/'Project Summary'!$C$10, "")</f>
        <v/>
      </c>
      <c r="J332" s="68"/>
      <c r="K332" s="69"/>
      <c r="L332" s="102"/>
      <c r="M332" s="102"/>
      <c r="N332" s="68"/>
      <c r="O332" s="68"/>
      <c r="P332" s="106"/>
      <c r="Q332" s="107"/>
      <c r="R332" s="107"/>
      <c r="S332" s="107"/>
      <c r="T332" s="107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</row>
    <row r="333" spans="2:36" x14ac:dyDescent="0.25">
      <c r="B333" s="68"/>
      <c r="C333" s="68"/>
      <c r="D333" s="70"/>
      <c r="E333" s="68"/>
      <c r="F333" s="96"/>
      <c r="G333" s="95" t="str">
        <f t="shared" si="5"/>
        <v/>
      </c>
      <c r="H333" s="91" t="str">
        <f>IF(E333&lt;&gt;"",E333/'Project Summary'!$C$9,"")</f>
        <v/>
      </c>
      <c r="I333" s="97" t="str">
        <f>IF(F333&lt;&gt;"",F333/'Project Summary'!$C$10, "")</f>
        <v/>
      </c>
      <c r="J333" s="68"/>
      <c r="K333" s="69"/>
      <c r="L333" s="102"/>
      <c r="M333" s="102"/>
      <c r="N333" s="68"/>
      <c r="O333" s="68"/>
      <c r="P333" s="106"/>
      <c r="Q333" s="107"/>
      <c r="R333" s="107"/>
      <c r="S333" s="107"/>
      <c r="T333" s="107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</row>
    <row r="334" spans="2:36" x14ac:dyDescent="0.25">
      <c r="B334" s="68"/>
      <c r="C334" s="68"/>
      <c r="D334" s="70"/>
      <c r="E334" s="68"/>
      <c r="F334" s="96"/>
      <c r="G334" s="95" t="str">
        <f t="shared" si="5"/>
        <v/>
      </c>
      <c r="H334" s="91" t="str">
        <f>IF(E334&lt;&gt;"",E334/'Project Summary'!$C$9,"")</f>
        <v/>
      </c>
      <c r="I334" s="97" t="str">
        <f>IF(F334&lt;&gt;"",F334/'Project Summary'!$C$10, "")</f>
        <v/>
      </c>
      <c r="J334" s="68"/>
      <c r="K334" s="69"/>
      <c r="L334" s="102"/>
      <c r="M334" s="102"/>
      <c r="N334" s="68"/>
      <c r="O334" s="68"/>
      <c r="P334" s="106"/>
      <c r="Q334" s="107"/>
      <c r="R334" s="107"/>
      <c r="S334" s="107"/>
      <c r="T334" s="107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</row>
    <row r="335" spans="2:36" x14ac:dyDescent="0.25">
      <c r="B335" s="68"/>
      <c r="C335" s="68"/>
      <c r="D335" s="70"/>
      <c r="E335" s="68"/>
      <c r="F335" s="96"/>
      <c r="G335" s="95" t="str">
        <f t="shared" si="5"/>
        <v/>
      </c>
      <c r="H335" s="91" t="str">
        <f>IF(E335&lt;&gt;"",E335/'Project Summary'!$C$9,"")</f>
        <v/>
      </c>
      <c r="I335" s="97" t="str">
        <f>IF(F335&lt;&gt;"",F335/'Project Summary'!$C$10, "")</f>
        <v/>
      </c>
      <c r="J335" s="68"/>
      <c r="K335" s="69"/>
      <c r="L335" s="102"/>
      <c r="M335" s="102"/>
      <c r="N335" s="68"/>
      <c r="O335" s="68"/>
      <c r="P335" s="106"/>
      <c r="Q335" s="107"/>
      <c r="R335" s="107"/>
      <c r="S335" s="107"/>
      <c r="T335" s="107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</row>
    <row r="336" spans="2:36" x14ac:dyDescent="0.25">
      <c r="B336" s="68"/>
      <c r="C336" s="68"/>
      <c r="D336" s="70"/>
      <c r="E336" s="68"/>
      <c r="F336" s="96"/>
      <c r="G336" s="95" t="str">
        <f t="shared" si="5"/>
        <v/>
      </c>
      <c r="H336" s="91" t="str">
        <f>IF(E336&lt;&gt;"",E336/'Project Summary'!$C$9,"")</f>
        <v/>
      </c>
      <c r="I336" s="97" t="str">
        <f>IF(F336&lt;&gt;"",F336/'Project Summary'!$C$10, "")</f>
        <v/>
      </c>
      <c r="J336" s="68"/>
      <c r="K336" s="69"/>
      <c r="L336" s="102"/>
      <c r="M336" s="102"/>
      <c r="N336" s="68"/>
      <c r="O336" s="68"/>
      <c r="P336" s="106"/>
      <c r="Q336" s="107"/>
      <c r="R336" s="107"/>
      <c r="S336" s="107"/>
      <c r="T336" s="107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</row>
    <row r="337" spans="2:36" x14ac:dyDescent="0.25">
      <c r="B337" s="68"/>
      <c r="C337" s="68"/>
      <c r="D337" s="70"/>
      <c r="E337" s="68"/>
      <c r="F337" s="96"/>
      <c r="G337" s="95" t="str">
        <f t="shared" si="5"/>
        <v/>
      </c>
      <c r="H337" s="91" t="str">
        <f>IF(E337&lt;&gt;"",E337/'Project Summary'!$C$9,"")</f>
        <v/>
      </c>
      <c r="I337" s="97" t="str">
        <f>IF(F337&lt;&gt;"",F337/'Project Summary'!$C$10, "")</f>
        <v/>
      </c>
      <c r="J337" s="68"/>
      <c r="K337" s="69"/>
      <c r="L337" s="102"/>
      <c r="M337" s="102"/>
      <c r="N337" s="68"/>
      <c r="O337" s="68"/>
      <c r="P337" s="106"/>
      <c r="Q337" s="107"/>
      <c r="R337" s="107"/>
      <c r="S337" s="107"/>
      <c r="T337" s="107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</row>
    <row r="338" spans="2:36" x14ac:dyDescent="0.25">
      <c r="B338" s="68"/>
      <c r="C338" s="68"/>
      <c r="D338" s="70"/>
      <c r="E338" s="68"/>
      <c r="F338" s="96"/>
      <c r="G338" s="95" t="str">
        <f t="shared" si="5"/>
        <v/>
      </c>
      <c r="H338" s="91" t="str">
        <f>IF(E338&lt;&gt;"",E338/'Project Summary'!$C$9,"")</f>
        <v/>
      </c>
      <c r="I338" s="97" t="str">
        <f>IF(F338&lt;&gt;"",F338/'Project Summary'!$C$10, "")</f>
        <v/>
      </c>
      <c r="J338" s="68"/>
      <c r="K338" s="69"/>
      <c r="L338" s="102"/>
      <c r="M338" s="102"/>
      <c r="N338" s="68"/>
      <c r="O338" s="68"/>
      <c r="P338" s="106"/>
      <c r="Q338" s="107"/>
      <c r="R338" s="107"/>
      <c r="S338" s="107"/>
      <c r="T338" s="107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</row>
    <row r="339" spans="2:36" x14ac:dyDescent="0.25">
      <c r="B339" s="68"/>
      <c r="C339" s="68"/>
      <c r="D339" s="70"/>
      <c r="E339" s="68"/>
      <c r="F339" s="96"/>
      <c r="G339" s="95" t="str">
        <f t="shared" si="5"/>
        <v/>
      </c>
      <c r="H339" s="91" t="str">
        <f>IF(E339&lt;&gt;"",E339/'Project Summary'!$C$9,"")</f>
        <v/>
      </c>
      <c r="I339" s="97" t="str">
        <f>IF(F339&lt;&gt;"",F339/'Project Summary'!$C$10, "")</f>
        <v/>
      </c>
      <c r="J339" s="68"/>
      <c r="K339" s="69"/>
      <c r="L339" s="102"/>
      <c r="M339" s="102"/>
      <c r="N339" s="68"/>
      <c r="O339" s="68"/>
      <c r="P339" s="106"/>
      <c r="Q339" s="107"/>
      <c r="R339" s="107"/>
      <c r="S339" s="107"/>
      <c r="T339" s="107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</row>
    <row r="340" spans="2:36" x14ac:dyDescent="0.25">
      <c r="B340" s="68"/>
      <c r="C340" s="68"/>
      <c r="D340" s="70"/>
      <c r="E340" s="68"/>
      <c r="F340" s="96"/>
      <c r="G340" s="95" t="str">
        <f t="shared" si="5"/>
        <v/>
      </c>
      <c r="H340" s="91" t="str">
        <f>IF(E340&lt;&gt;"",E340/'Project Summary'!$C$9,"")</f>
        <v/>
      </c>
      <c r="I340" s="97" t="str">
        <f>IF(F340&lt;&gt;"",F340/'Project Summary'!$C$10, "")</f>
        <v/>
      </c>
      <c r="J340" s="68"/>
      <c r="K340" s="69"/>
      <c r="L340" s="102"/>
      <c r="M340" s="102"/>
      <c r="N340" s="68"/>
      <c r="O340" s="68"/>
      <c r="P340" s="106"/>
      <c r="Q340" s="107"/>
      <c r="R340" s="107"/>
      <c r="S340" s="107"/>
      <c r="T340" s="107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</row>
    <row r="341" spans="2:36" x14ac:dyDescent="0.25">
      <c r="B341" s="68"/>
      <c r="C341" s="68"/>
      <c r="D341" s="70"/>
      <c r="E341" s="68"/>
      <c r="F341" s="96"/>
      <c r="G341" s="95" t="str">
        <f t="shared" si="5"/>
        <v/>
      </c>
      <c r="H341" s="91" t="str">
        <f>IF(E341&lt;&gt;"",E341/'Project Summary'!$C$9,"")</f>
        <v/>
      </c>
      <c r="I341" s="97" t="str">
        <f>IF(F341&lt;&gt;"",F341/'Project Summary'!$C$10, "")</f>
        <v/>
      </c>
      <c r="J341" s="68"/>
      <c r="K341" s="69"/>
      <c r="L341" s="102"/>
      <c r="M341" s="102"/>
      <c r="N341" s="68"/>
      <c r="O341" s="68"/>
      <c r="P341" s="106"/>
      <c r="Q341" s="107"/>
      <c r="R341" s="107"/>
      <c r="S341" s="107"/>
      <c r="T341" s="107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</row>
    <row r="342" spans="2:36" x14ac:dyDescent="0.25">
      <c r="B342" s="68"/>
      <c r="C342" s="68"/>
      <c r="D342" s="70"/>
      <c r="E342" s="68"/>
      <c r="F342" s="96"/>
      <c r="G342" s="95" t="str">
        <f t="shared" si="5"/>
        <v/>
      </c>
      <c r="H342" s="91" t="str">
        <f>IF(E342&lt;&gt;"",E342/'Project Summary'!$C$9,"")</f>
        <v/>
      </c>
      <c r="I342" s="97" t="str">
        <f>IF(F342&lt;&gt;"",F342/'Project Summary'!$C$10, "")</f>
        <v/>
      </c>
      <c r="J342" s="68"/>
      <c r="K342" s="69"/>
      <c r="L342" s="102"/>
      <c r="M342" s="102"/>
      <c r="N342" s="68"/>
      <c r="O342" s="68"/>
      <c r="P342" s="106"/>
      <c r="Q342" s="107"/>
      <c r="R342" s="107"/>
      <c r="S342" s="107"/>
      <c r="T342" s="107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</row>
    <row r="343" spans="2:36" x14ac:dyDescent="0.25">
      <c r="B343" s="68"/>
      <c r="C343" s="68"/>
      <c r="D343" s="70"/>
      <c r="E343" s="68"/>
      <c r="F343" s="96"/>
      <c r="G343" s="95" t="str">
        <f t="shared" si="5"/>
        <v/>
      </c>
      <c r="H343" s="91" t="str">
        <f>IF(E343&lt;&gt;"",E343/'Project Summary'!$C$9,"")</f>
        <v/>
      </c>
      <c r="I343" s="97" t="str">
        <f>IF(F343&lt;&gt;"",F343/'Project Summary'!$C$10, "")</f>
        <v/>
      </c>
      <c r="J343" s="68"/>
      <c r="K343" s="69"/>
      <c r="L343" s="102"/>
      <c r="M343" s="102"/>
      <c r="N343" s="68"/>
      <c r="O343" s="68"/>
      <c r="P343" s="106"/>
      <c r="Q343" s="107"/>
      <c r="R343" s="107"/>
      <c r="S343" s="107"/>
      <c r="T343" s="107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</row>
    <row r="344" spans="2:36" x14ac:dyDescent="0.25">
      <c r="B344" s="68"/>
      <c r="C344" s="68"/>
      <c r="D344" s="70"/>
      <c r="E344" s="68"/>
      <c r="F344" s="96"/>
      <c r="G344" s="95" t="str">
        <f t="shared" si="5"/>
        <v/>
      </c>
      <c r="H344" s="91" t="str">
        <f>IF(E344&lt;&gt;"",E344/'Project Summary'!$C$9,"")</f>
        <v/>
      </c>
      <c r="I344" s="97" t="str">
        <f>IF(F344&lt;&gt;"",F344/'Project Summary'!$C$10, "")</f>
        <v/>
      </c>
      <c r="J344" s="68"/>
      <c r="K344" s="69"/>
      <c r="L344" s="102"/>
      <c r="M344" s="102"/>
      <c r="N344" s="68"/>
      <c r="O344" s="68"/>
      <c r="P344" s="106"/>
      <c r="Q344" s="107"/>
      <c r="R344" s="107"/>
      <c r="S344" s="107"/>
      <c r="T344" s="107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</row>
    <row r="345" spans="2:36" x14ac:dyDescent="0.25">
      <c r="B345" s="68"/>
      <c r="C345" s="68"/>
      <c r="D345" s="70"/>
      <c r="E345" s="68"/>
      <c r="F345" s="96"/>
      <c r="G345" s="95" t="str">
        <f t="shared" si="5"/>
        <v/>
      </c>
      <c r="H345" s="91" t="str">
        <f>IF(E345&lt;&gt;"",E345/'Project Summary'!$C$9,"")</f>
        <v/>
      </c>
      <c r="I345" s="97" t="str">
        <f>IF(F345&lt;&gt;"",F345/'Project Summary'!$C$10, "")</f>
        <v/>
      </c>
      <c r="J345" s="68"/>
      <c r="K345" s="69"/>
      <c r="L345" s="102"/>
      <c r="M345" s="102"/>
      <c r="N345" s="68"/>
      <c r="O345" s="68"/>
      <c r="P345" s="106"/>
      <c r="Q345" s="107"/>
      <c r="R345" s="107"/>
      <c r="S345" s="107"/>
      <c r="T345" s="107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</row>
    <row r="346" spans="2:36" x14ac:dyDescent="0.25">
      <c r="B346" s="68"/>
      <c r="C346" s="68"/>
      <c r="D346" s="70"/>
      <c r="E346" s="68"/>
      <c r="F346" s="96"/>
      <c r="G346" s="95" t="str">
        <f t="shared" si="5"/>
        <v/>
      </c>
      <c r="H346" s="91" t="str">
        <f>IF(E346&lt;&gt;"",E346/'Project Summary'!$C$9,"")</f>
        <v/>
      </c>
      <c r="I346" s="97" t="str">
        <f>IF(F346&lt;&gt;"",F346/'Project Summary'!$C$10, "")</f>
        <v/>
      </c>
      <c r="J346" s="68"/>
      <c r="K346" s="69"/>
      <c r="L346" s="102"/>
      <c r="M346" s="102"/>
      <c r="N346" s="68"/>
      <c r="O346" s="68"/>
      <c r="P346" s="106"/>
      <c r="Q346" s="107"/>
      <c r="R346" s="107"/>
      <c r="S346" s="107"/>
      <c r="T346" s="107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</row>
    <row r="347" spans="2:36" x14ac:dyDescent="0.25">
      <c r="B347" s="68"/>
      <c r="C347" s="68"/>
      <c r="D347" s="70"/>
      <c r="E347" s="68"/>
      <c r="F347" s="96"/>
      <c r="G347" s="95" t="str">
        <f t="shared" si="5"/>
        <v/>
      </c>
      <c r="H347" s="91" t="str">
        <f>IF(E347&lt;&gt;"",E347/'Project Summary'!$C$9,"")</f>
        <v/>
      </c>
      <c r="I347" s="97" t="str">
        <f>IF(F347&lt;&gt;"",F347/'Project Summary'!$C$10, "")</f>
        <v/>
      </c>
      <c r="J347" s="68"/>
      <c r="K347" s="69"/>
      <c r="L347" s="102"/>
      <c r="M347" s="102"/>
      <c r="N347" s="68"/>
      <c r="O347" s="68"/>
      <c r="P347" s="106"/>
      <c r="Q347" s="107"/>
      <c r="R347" s="107"/>
      <c r="S347" s="107"/>
      <c r="T347" s="107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</row>
    <row r="348" spans="2:36" x14ac:dyDescent="0.25">
      <c r="B348" s="68"/>
      <c r="C348" s="68"/>
      <c r="D348" s="70"/>
      <c r="E348" s="68"/>
      <c r="F348" s="96"/>
      <c r="G348" s="95" t="str">
        <f t="shared" si="5"/>
        <v/>
      </c>
      <c r="H348" s="91" t="str">
        <f>IF(E348&lt;&gt;"",E348/'Project Summary'!$C$9,"")</f>
        <v/>
      </c>
      <c r="I348" s="97" t="str">
        <f>IF(F348&lt;&gt;"",F348/'Project Summary'!$C$10, "")</f>
        <v/>
      </c>
      <c r="J348" s="68"/>
      <c r="K348" s="69"/>
      <c r="L348" s="102"/>
      <c r="M348" s="102"/>
      <c r="N348" s="68"/>
      <c r="O348" s="68"/>
      <c r="P348" s="106"/>
      <c r="Q348" s="107"/>
      <c r="R348" s="107"/>
      <c r="S348" s="107"/>
      <c r="T348" s="107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</row>
    <row r="349" spans="2:36" x14ac:dyDescent="0.25">
      <c r="B349" s="68"/>
      <c r="C349" s="68"/>
      <c r="D349" s="70"/>
      <c r="E349" s="68"/>
      <c r="F349" s="96"/>
      <c r="G349" s="95" t="str">
        <f t="shared" si="5"/>
        <v/>
      </c>
      <c r="H349" s="91" t="str">
        <f>IF(E349&lt;&gt;"",E349/'Project Summary'!$C$9,"")</f>
        <v/>
      </c>
      <c r="I349" s="97" t="str">
        <f>IF(F349&lt;&gt;"",F349/'Project Summary'!$C$10, "")</f>
        <v/>
      </c>
      <c r="J349" s="68"/>
      <c r="K349" s="69"/>
      <c r="L349" s="102"/>
      <c r="M349" s="102"/>
      <c r="N349" s="68"/>
      <c r="O349" s="68"/>
      <c r="P349" s="106"/>
      <c r="Q349" s="107"/>
      <c r="R349" s="107"/>
      <c r="S349" s="107"/>
      <c r="T349" s="107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</row>
    <row r="350" spans="2:36" x14ac:dyDescent="0.25">
      <c r="B350" s="68"/>
      <c r="C350" s="68"/>
      <c r="D350" s="70"/>
      <c r="E350" s="68"/>
      <c r="F350" s="96"/>
      <c r="G350" s="95" t="str">
        <f t="shared" si="5"/>
        <v/>
      </c>
      <c r="H350" s="91" t="str">
        <f>IF(E350&lt;&gt;"",E350/'Project Summary'!$C$9,"")</f>
        <v/>
      </c>
      <c r="I350" s="97" t="str">
        <f>IF(F350&lt;&gt;"",F350/'Project Summary'!$C$10, "")</f>
        <v/>
      </c>
      <c r="J350" s="68"/>
      <c r="K350" s="69"/>
      <c r="L350" s="102"/>
      <c r="M350" s="102"/>
      <c r="N350" s="68"/>
      <c r="O350" s="68"/>
      <c r="P350" s="106"/>
      <c r="Q350" s="107"/>
      <c r="R350" s="107"/>
      <c r="S350" s="107"/>
      <c r="T350" s="107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</row>
    <row r="351" spans="2:36" x14ac:dyDescent="0.25">
      <c r="B351" s="68"/>
      <c r="C351" s="68"/>
      <c r="D351" s="70"/>
      <c r="E351" s="68"/>
      <c r="F351" s="96"/>
      <c r="G351" s="95" t="str">
        <f t="shared" si="5"/>
        <v/>
      </c>
      <c r="H351" s="91" t="str">
        <f>IF(E351&lt;&gt;"",E351/'Project Summary'!$C$9,"")</f>
        <v/>
      </c>
      <c r="I351" s="97" t="str">
        <f>IF(F351&lt;&gt;"",F351/'Project Summary'!$C$10, "")</f>
        <v/>
      </c>
      <c r="J351" s="68"/>
      <c r="K351" s="69"/>
      <c r="L351" s="102"/>
      <c r="M351" s="102"/>
      <c r="N351" s="68"/>
      <c r="O351" s="68"/>
      <c r="P351" s="106"/>
      <c r="Q351" s="107"/>
      <c r="R351" s="107"/>
      <c r="S351" s="107"/>
      <c r="T351" s="107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</row>
    <row r="352" spans="2:36" x14ac:dyDescent="0.25">
      <c r="B352" s="68"/>
      <c r="C352" s="68"/>
      <c r="D352" s="70"/>
      <c r="E352" s="68"/>
      <c r="F352" s="96"/>
      <c r="G352" s="95" t="str">
        <f t="shared" si="5"/>
        <v/>
      </c>
      <c r="H352" s="91" t="str">
        <f>IF(E352&lt;&gt;"",E352/'Project Summary'!$C$9,"")</f>
        <v/>
      </c>
      <c r="I352" s="97" t="str">
        <f>IF(F352&lt;&gt;"",F352/'Project Summary'!$C$10, "")</f>
        <v/>
      </c>
      <c r="J352" s="68"/>
      <c r="K352" s="69"/>
      <c r="L352" s="102"/>
      <c r="M352" s="102"/>
      <c r="N352" s="68"/>
      <c r="O352" s="68"/>
      <c r="P352" s="106"/>
      <c r="Q352" s="107"/>
      <c r="R352" s="107"/>
      <c r="S352" s="107"/>
      <c r="T352" s="107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</row>
    <row r="353" spans="2:36" x14ac:dyDescent="0.25">
      <c r="B353" s="68"/>
      <c r="C353" s="68"/>
      <c r="D353" s="70"/>
      <c r="E353" s="68"/>
      <c r="F353" s="96"/>
      <c r="G353" s="95" t="str">
        <f t="shared" si="5"/>
        <v/>
      </c>
      <c r="H353" s="91" t="str">
        <f>IF(E353&lt;&gt;"",E353/'Project Summary'!$C$9,"")</f>
        <v/>
      </c>
      <c r="I353" s="97" t="str">
        <f>IF(F353&lt;&gt;"",F353/'Project Summary'!$C$10, "")</f>
        <v/>
      </c>
      <c r="J353" s="68"/>
      <c r="K353" s="69"/>
      <c r="L353" s="102"/>
      <c r="M353" s="102"/>
      <c r="N353" s="68"/>
      <c r="O353" s="68"/>
      <c r="P353" s="106"/>
      <c r="Q353" s="107"/>
      <c r="R353" s="107"/>
      <c r="S353" s="107"/>
      <c r="T353" s="107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</row>
    <row r="354" spans="2:36" x14ac:dyDescent="0.25">
      <c r="B354" s="68"/>
      <c r="C354" s="68"/>
      <c r="D354" s="70"/>
      <c r="E354" s="68"/>
      <c r="F354" s="96"/>
      <c r="G354" s="95" t="str">
        <f t="shared" si="5"/>
        <v/>
      </c>
      <c r="H354" s="91" t="str">
        <f>IF(E354&lt;&gt;"",E354/'Project Summary'!$C$9,"")</f>
        <v/>
      </c>
      <c r="I354" s="97" t="str">
        <f>IF(F354&lt;&gt;"",F354/'Project Summary'!$C$10, "")</f>
        <v/>
      </c>
      <c r="J354" s="68"/>
      <c r="K354" s="69"/>
      <c r="L354" s="102"/>
      <c r="M354" s="102"/>
      <c r="N354" s="68"/>
      <c r="O354" s="68"/>
      <c r="P354" s="106"/>
      <c r="Q354" s="107"/>
      <c r="R354" s="107"/>
      <c r="S354" s="107"/>
      <c r="T354" s="107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</row>
    <row r="355" spans="2:36" x14ac:dyDescent="0.25">
      <c r="B355" s="68"/>
      <c r="C355" s="68"/>
      <c r="D355" s="70"/>
      <c r="E355" s="68"/>
      <c r="F355" s="96"/>
      <c r="G355" s="95" t="str">
        <f t="shared" si="5"/>
        <v/>
      </c>
      <c r="H355" s="91" t="str">
        <f>IF(E355&lt;&gt;"",E355/'Project Summary'!$C$9,"")</f>
        <v/>
      </c>
      <c r="I355" s="97" t="str">
        <f>IF(F355&lt;&gt;"",F355/'Project Summary'!$C$10, "")</f>
        <v/>
      </c>
      <c r="J355" s="68"/>
      <c r="K355" s="69"/>
      <c r="L355" s="102"/>
      <c r="M355" s="102"/>
      <c r="N355" s="68"/>
      <c r="O355" s="68"/>
      <c r="P355" s="106"/>
      <c r="Q355" s="107"/>
      <c r="R355" s="107"/>
      <c r="S355" s="107"/>
      <c r="T355" s="107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</row>
    <row r="356" spans="2:36" x14ac:dyDescent="0.25">
      <c r="B356" s="68"/>
      <c r="C356" s="68"/>
      <c r="D356" s="70"/>
      <c r="E356" s="68"/>
      <c r="F356" s="96"/>
      <c r="G356" s="95" t="str">
        <f t="shared" si="5"/>
        <v/>
      </c>
      <c r="H356" s="91" t="str">
        <f>IF(E356&lt;&gt;"",E356/'Project Summary'!$C$9,"")</f>
        <v/>
      </c>
      <c r="I356" s="97" t="str">
        <f>IF(F356&lt;&gt;"",F356/'Project Summary'!$C$10, "")</f>
        <v/>
      </c>
      <c r="J356" s="68"/>
      <c r="K356" s="69"/>
      <c r="L356" s="102"/>
      <c r="M356" s="102"/>
      <c r="N356" s="68"/>
      <c r="O356" s="68"/>
      <c r="P356" s="106"/>
      <c r="Q356" s="107"/>
      <c r="R356" s="107"/>
      <c r="S356" s="107"/>
      <c r="T356" s="107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</row>
    <row r="357" spans="2:36" x14ac:dyDescent="0.25">
      <c r="B357" s="68"/>
      <c r="C357" s="68"/>
      <c r="D357" s="70"/>
      <c r="E357" s="68"/>
      <c r="F357" s="96"/>
      <c r="G357" s="95" t="str">
        <f t="shared" si="5"/>
        <v/>
      </c>
      <c r="H357" s="91" t="str">
        <f>IF(E357&lt;&gt;"",E357/'Project Summary'!$C$9,"")</f>
        <v/>
      </c>
      <c r="I357" s="97" t="str">
        <f>IF(F357&lt;&gt;"",F357/'Project Summary'!$C$10, "")</f>
        <v/>
      </c>
      <c r="J357" s="68"/>
      <c r="K357" s="69"/>
      <c r="L357" s="102"/>
      <c r="M357" s="102"/>
      <c r="N357" s="68"/>
      <c r="O357" s="68"/>
      <c r="P357" s="106"/>
      <c r="Q357" s="107"/>
      <c r="R357" s="107"/>
      <c r="S357" s="107"/>
      <c r="T357" s="107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</row>
    <row r="358" spans="2:36" x14ac:dyDescent="0.25">
      <c r="B358" s="68"/>
      <c r="C358" s="68"/>
      <c r="D358" s="70"/>
      <c r="E358" s="68"/>
      <c r="F358" s="96"/>
      <c r="G358" s="95" t="str">
        <f t="shared" si="5"/>
        <v/>
      </c>
      <c r="H358" s="91" t="str">
        <f>IF(E358&lt;&gt;"",E358/'Project Summary'!$C$9,"")</f>
        <v/>
      </c>
      <c r="I358" s="97" t="str">
        <f>IF(F358&lt;&gt;"",F358/'Project Summary'!$C$10, "")</f>
        <v/>
      </c>
      <c r="J358" s="68"/>
      <c r="K358" s="69"/>
      <c r="L358" s="102"/>
      <c r="M358" s="102"/>
      <c r="N358" s="68"/>
      <c r="O358" s="68"/>
      <c r="P358" s="106"/>
      <c r="Q358" s="107"/>
      <c r="R358" s="107"/>
      <c r="S358" s="107"/>
      <c r="T358" s="107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</row>
    <row r="359" spans="2:36" x14ac:dyDescent="0.25">
      <c r="B359" s="68"/>
      <c r="C359" s="68"/>
      <c r="D359" s="70"/>
      <c r="E359" s="68"/>
      <c r="F359" s="96"/>
      <c r="G359" s="95" t="str">
        <f t="shared" si="5"/>
        <v/>
      </c>
      <c r="H359" s="91" t="str">
        <f>IF(E359&lt;&gt;"",E359/'Project Summary'!$C$9,"")</f>
        <v/>
      </c>
      <c r="I359" s="97" t="str">
        <f>IF(F359&lt;&gt;"",F359/'Project Summary'!$C$10, "")</f>
        <v/>
      </c>
      <c r="J359" s="68"/>
      <c r="K359" s="69"/>
      <c r="L359" s="102"/>
      <c r="M359" s="102"/>
      <c r="N359" s="68"/>
      <c r="O359" s="68"/>
      <c r="P359" s="106"/>
      <c r="Q359" s="107"/>
      <c r="R359" s="107"/>
      <c r="S359" s="107"/>
      <c r="T359" s="107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</row>
    <row r="360" spans="2:36" x14ac:dyDescent="0.25">
      <c r="B360" s="68"/>
      <c r="C360" s="68"/>
      <c r="D360" s="70"/>
      <c r="E360" s="68"/>
      <c r="F360" s="96"/>
      <c r="G360" s="95" t="str">
        <f t="shared" si="5"/>
        <v/>
      </c>
      <c r="H360" s="91" t="str">
        <f>IF(E360&lt;&gt;"",E360/'Project Summary'!$C$9,"")</f>
        <v/>
      </c>
      <c r="I360" s="97" t="str">
        <f>IF(F360&lt;&gt;"",F360/'Project Summary'!$C$10, "")</f>
        <v/>
      </c>
      <c r="J360" s="68"/>
      <c r="K360" s="69"/>
      <c r="L360" s="102"/>
      <c r="M360" s="102"/>
      <c r="N360" s="68"/>
      <c r="O360" s="68"/>
      <c r="P360" s="106"/>
      <c r="Q360" s="107"/>
      <c r="R360" s="107"/>
      <c r="S360" s="107"/>
      <c r="T360" s="107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</row>
    <row r="361" spans="2:36" x14ac:dyDescent="0.25">
      <c r="B361" s="68"/>
      <c r="C361" s="68"/>
      <c r="D361" s="70"/>
      <c r="E361" s="68"/>
      <c r="F361" s="96"/>
      <c r="G361" s="95" t="str">
        <f t="shared" si="5"/>
        <v/>
      </c>
      <c r="H361" s="91" t="str">
        <f>IF(E361&lt;&gt;"",E361/'Project Summary'!$C$9,"")</f>
        <v/>
      </c>
      <c r="I361" s="97" t="str">
        <f>IF(F361&lt;&gt;"",F361/'Project Summary'!$C$10, "")</f>
        <v/>
      </c>
      <c r="J361" s="68"/>
      <c r="K361" s="69"/>
      <c r="L361" s="102"/>
      <c r="M361" s="102"/>
      <c r="N361" s="68"/>
      <c r="O361" s="68"/>
      <c r="P361" s="106"/>
      <c r="Q361" s="107"/>
      <c r="R361" s="107"/>
      <c r="S361" s="107"/>
      <c r="T361" s="107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</row>
    <row r="362" spans="2:36" x14ac:dyDescent="0.25">
      <c r="B362" s="68"/>
      <c r="C362" s="68"/>
      <c r="D362" s="70"/>
      <c r="E362" s="68"/>
      <c r="F362" s="96"/>
      <c r="G362" s="95" t="str">
        <f t="shared" si="5"/>
        <v/>
      </c>
      <c r="H362" s="91" t="str">
        <f>IF(E362&lt;&gt;"",E362/'Project Summary'!$C$9,"")</f>
        <v/>
      </c>
      <c r="I362" s="97" t="str">
        <f>IF(F362&lt;&gt;"",F362/'Project Summary'!$C$10, "")</f>
        <v/>
      </c>
      <c r="J362" s="68"/>
      <c r="K362" s="69"/>
      <c r="L362" s="102"/>
      <c r="M362" s="102"/>
      <c r="N362" s="68"/>
      <c r="O362" s="68"/>
      <c r="P362" s="106"/>
      <c r="Q362" s="107"/>
      <c r="R362" s="107"/>
      <c r="S362" s="107"/>
      <c r="T362" s="107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</row>
    <row r="363" spans="2:36" x14ac:dyDescent="0.25">
      <c r="B363" s="68"/>
      <c r="C363" s="68"/>
      <c r="D363" s="70"/>
      <c r="E363" s="68"/>
      <c r="F363" s="96"/>
      <c r="G363" s="95" t="str">
        <f t="shared" si="5"/>
        <v/>
      </c>
      <c r="H363" s="91" t="str">
        <f>IF(E363&lt;&gt;"",E363/'Project Summary'!$C$9,"")</f>
        <v/>
      </c>
      <c r="I363" s="97" t="str">
        <f>IF(F363&lt;&gt;"",F363/'Project Summary'!$C$10, "")</f>
        <v/>
      </c>
      <c r="J363" s="68"/>
      <c r="K363" s="69"/>
      <c r="L363" s="102"/>
      <c r="M363" s="102"/>
      <c r="N363" s="68"/>
      <c r="O363" s="68"/>
      <c r="P363" s="106"/>
      <c r="Q363" s="107"/>
      <c r="R363" s="107"/>
      <c r="S363" s="107"/>
      <c r="T363" s="107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</row>
    <row r="364" spans="2:36" x14ac:dyDescent="0.25">
      <c r="B364" s="68"/>
      <c r="C364" s="68"/>
      <c r="D364" s="70"/>
      <c r="E364" s="68"/>
      <c r="F364" s="96"/>
      <c r="G364" s="95" t="str">
        <f t="shared" si="5"/>
        <v/>
      </c>
      <c r="H364" s="91" t="str">
        <f>IF(E364&lt;&gt;"",E364/'Project Summary'!$C$9,"")</f>
        <v/>
      </c>
      <c r="I364" s="97" t="str">
        <f>IF(F364&lt;&gt;"",F364/'Project Summary'!$C$10, "")</f>
        <v/>
      </c>
      <c r="J364" s="68"/>
      <c r="K364" s="69"/>
      <c r="L364" s="102"/>
      <c r="M364" s="102"/>
      <c r="N364" s="68"/>
      <c r="O364" s="68"/>
      <c r="P364" s="106"/>
      <c r="Q364" s="107"/>
      <c r="R364" s="107"/>
      <c r="S364" s="107"/>
      <c r="T364" s="107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</row>
    <row r="365" spans="2:36" x14ac:dyDescent="0.25">
      <c r="B365" s="68"/>
      <c r="C365" s="68"/>
      <c r="D365" s="70"/>
      <c r="E365" s="68"/>
      <c r="F365" s="96"/>
      <c r="G365" s="95" t="str">
        <f t="shared" si="5"/>
        <v/>
      </c>
      <c r="H365" s="91" t="str">
        <f>IF(E365&lt;&gt;"",E365/'Project Summary'!$C$9,"")</f>
        <v/>
      </c>
      <c r="I365" s="97" t="str">
        <f>IF(F365&lt;&gt;"",F365/'Project Summary'!$C$10, "")</f>
        <v/>
      </c>
      <c r="J365" s="68"/>
      <c r="K365" s="69"/>
      <c r="L365" s="102"/>
      <c r="M365" s="102"/>
      <c r="N365" s="68"/>
      <c r="O365" s="68"/>
      <c r="P365" s="106"/>
      <c r="Q365" s="107"/>
      <c r="R365" s="107"/>
      <c r="S365" s="107"/>
      <c r="T365" s="107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</row>
    <row r="366" spans="2:36" x14ac:dyDescent="0.25">
      <c r="B366" s="68"/>
      <c r="C366" s="68"/>
      <c r="D366" s="70"/>
      <c r="E366" s="68"/>
      <c r="F366" s="96"/>
      <c r="G366" s="95" t="str">
        <f t="shared" si="5"/>
        <v/>
      </c>
      <c r="H366" s="91" t="str">
        <f>IF(E366&lt;&gt;"",E366/'Project Summary'!$C$9,"")</f>
        <v/>
      </c>
      <c r="I366" s="97" t="str">
        <f>IF(F366&lt;&gt;"",F366/'Project Summary'!$C$10, "")</f>
        <v/>
      </c>
      <c r="J366" s="68"/>
      <c r="K366" s="69"/>
      <c r="L366" s="102"/>
      <c r="M366" s="102"/>
      <c r="N366" s="68"/>
      <c r="O366" s="68"/>
      <c r="P366" s="106"/>
      <c r="Q366" s="107"/>
      <c r="R366" s="107"/>
      <c r="S366" s="107"/>
      <c r="T366" s="107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</row>
    <row r="367" spans="2:36" x14ac:dyDescent="0.25">
      <c r="B367" s="68"/>
      <c r="C367" s="68"/>
      <c r="D367" s="70"/>
      <c r="E367" s="68"/>
      <c r="F367" s="96"/>
      <c r="G367" s="95" t="str">
        <f t="shared" si="5"/>
        <v/>
      </c>
      <c r="H367" s="91" t="str">
        <f>IF(E367&lt;&gt;"",E367/'Project Summary'!$C$9,"")</f>
        <v/>
      </c>
      <c r="I367" s="97" t="str">
        <f>IF(F367&lt;&gt;"",F367/'Project Summary'!$C$10, "")</f>
        <v/>
      </c>
      <c r="J367" s="68"/>
      <c r="K367" s="69"/>
      <c r="L367" s="102"/>
      <c r="M367" s="102"/>
      <c r="N367" s="68"/>
      <c r="O367" s="68"/>
      <c r="P367" s="106"/>
      <c r="Q367" s="107"/>
      <c r="R367" s="107"/>
      <c r="S367" s="107"/>
      <c r="T367" s="107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</row>
    <row r="368" spans="2:36" x14ac:dyDescent="0.25">
      <c r="B368" s="68"/>
      <c r="C368" s="68"/>
      <c r="D368" s="70"/>
      <c r="E368" s="68"/>
      <c r="F368" s="96"/>
      <c r="G368" s="95" t="str">
        <f t="shared" si="5"/>
        <v/>
      </c>
      <c r="H368" s="91" t="str">
        <f>IF(E368&lt;&gt;"",E368/'Project Summary'!$C$9,"")</f>
        <v/>
      </c>
      <c r="I368" s="97" t="str">
        <f>IF(F368&lt;&gt;"",F368/'Project Summary'!$C$10, "")</f>
        <v/>
      </c>
      <c r="J368" s="68"/>
      <c r="K368" s="69"/>
      <c r="L368" s="102"/>
      <c r="M368" s="102"/>
      <c r="N368" s="68"/>
      <c r="O368" s="68"/>
      <c r="P368" s="106"/>
      <c r="Q368" s="107"/>
      <c r="R368" s="107"/>
      <c r="S368" s="107"/>
      <c r="T368" s="107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</row>
    <row r="369" spans="2:36" x14ac:dyDescent="0.25">
      <c r="B369" s="68"/>
      <c r="C369" s="68"/>
      <c r="D369" s="70"/>
      <c r="E369" s="68"/>
      <c r="F369" s="96"/>
      <c r="G369" s="95" t="str">
        <f t="shared" si="5"/>
        <v/>
      </c>
      <c r="H369" s="91" t="str">
        <f>IF(E369&lt;&gt;"",E369/'Project Summary'!$C$9,"")</f>
        <v/>
      </c>
      <c r="I369" s="97" t="str">
        <f>IF(F369&lt;&gt;"",F369/'Project Summary'!$C$10, "")</f>
        <v/>
      </c>
      <c r="J369" s="68"/>
      <c r="K369" s="69"/>
      <c r="L369" s="102"/>
      <c r="M369" s="102"/>
      <c r="N369" s="68"/>
      <c r="O369" s="68"/>
      <c r="P369" s="106"/>
      <c r="Q369" s="107"/>
      <c r="R369" s="107"/>
      <c r="S369" s="107"/>
      <c r="T369" s="107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</row>
    <row r="370" spans="2:36" x14ac:dyDescent="0.25">
      <c r="B370" s="68"/>
      <c r="C370" s="68"/>
      <c r="D370" s="70"/>
      <c r="E370" s="68"/>
      <c r="F370" s="96"/>
      <c r="G370" s="95" t="str">
        <f t="shared" si="5"/>
        <v/>
      </c>
      <c r="H370" s="91" t="str">
        <f>IF(E370&lt;&gt;"",E370/'Project Summary'!$C$9,"")</f>
        <v/>
      </c>
      <c r="I370" s="97" t="str">
        <f>IF(F370&lt;&gt;"",F370/'Project Summary'!$C$10, "")</f>
        <v/>
      </c>
      <c r="J370" s="68"/>
      <c r="K370" s="69"/>
      <c r="L370" s="102"/>
      <c r="M370" s="102"/>
      <c r="N370" s="68"/>
      <c r="O370" s="68"/>
      <c r="P370" s="106"/>
      <c r="Q370" s="107"/>
      <c r="R370" s="107"/>
      <c r="S370" s="107"/>
      <c r="T370" s="107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</row>
    <row r="371" spans="2:36" x14ac:dyDescent="0.25">
      <c r="B371" s="68"/>
      <c r="C371" s="68"/>
      <c r="D371" s="70"/>
      <c r="E371" s="68"/>
      <c r="F371" s="96"/>
      <c r="G371" s="95" t="str">
        <f t="shared" si="5"/>
        <v/>
      </c>
      <c r="H371" s="91" t="str">
        <f>IF(E371&lt;&gt;"",E371/'Project Summary'!$C$9,"")</f>
        <v/>
      </c>
      <c r="I371" s="97" t="str">
        <f>IF(F371&lt;&gt;"",F371/'Project Summary'!$C$10, "")</f>
        <v/>
      </c>
      <c r="J371" s="68"/>
      <c r="K371" s="69"/>
      <c r="L371" s="102"/>
      <c r="M371" s="102"/>
      <c r="N371" s="68"/>
      <c r="O371" s="68"/>
      <c r="P371" s="106"/>
      <c r="Q371" s="107"/>
      <c r="R371" s="107"/>
      <c r="S371" s="107"/>
      <c r="T371" s="107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</row>
    <row r="372" spans="2:36" x14ac:dyDescent="0.25">
      <c r="B372" s="68"/>
      <c r="C372" s="68"/>
      <c r="D372" s="70"/>
      <c r="E372" s="68"/>
      <c r="F372" s="96"/>
      <c r="G372" s="95" t="str">
        <f t="shared" si="5"/>
        <v/>
      </c>
      <c r="H372" s="91" t="str">
        <f>IF(E372&lt;&gt;"",E372/'Project Summary'!$C$9,"")</f>
        <v/>
      </c>
      <c r="I372" s="97" t="str">
        <f>IF(F372&lt;&gt;"",F372/'Project Summary'!$C$10, "")</f>
        <v/>
      </c>
      <c r="J372" s="68"/>
      <c r="K372" s="69"/>
      <c r="L372" s="102"/>
      <c r="M372" s="102"/>
      <c r="N372" s="68"/>
      <c r="O372" s="68"/>
      <c r="P372" s="106"/>
      <c r="Q372" s="107"/>
      <c r="R372" s="107"/>
      <c r="S372" s="107"/>
      <c r="T372" s="107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</row>
    <row r="373" spans="2:36" x14ac:dyDescent="0.25">
      <c r="B373" s="68"/>
      <c r="C373" s="68"/>
      <c r="D373" s="70"/>
      <c r="E373" s="68"/>
      <c r="F373" s="96"/>
      <c r="G373" s="95" t="str">
        <f t="shared" si="5"/>
        <v/>
      </c>
      <c r="H373" s="91" t="str">
        <f>IF(E373&lt;&gt;"",E373/'Project Summary'!$C$9,"")</f>
        <v/>
      </c>
      <c r="I373" s="97" t="str">
        <f>IF(F373&lt;&gt;"",F373/'Project Summary'!$C$10, "")</f>
        <v/>
      </c>
      <c r="J373" s="68"/>
      <c r="K373" s="69"/>
      <c r="L373" s="102"/>
      <c r="M373" s="102"/>
      <c r="N373" s="68"/>
      <c r="O373" s="68"/>
      <c r="P373" s="106"/>
      <c r="Q373" s="107"/>
      <c r="R373" s="107"/>
      <c r="S373" s="107"/>
      <c r="T373" s="107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</row>
    <row r="374" spans="2:36" x14ac:dyDescent="0.25">
      <c r="B374" s="68"/>
      <c r="C374" s="68"/>
      <c r="D374" s="70"/>
      <c r="E374" s="68"/>
      <c r="F374" s="96"/>
      <c r="G374" s="95" t="str">
        <f t="shared" si="5"/>
        <v/>
      </c>
      <c r="H374" s="91" t="str">
        <f>IF(E374&lt;&gt;"",E374/'Project Summary'!$C$9,"")</f>
        <v/>
      </c>
      <c r="I374" s="97" t="str">
        <f>IF(F374&lt;&gt;"",F374/'Project Summary'!$C$10, "")</f>
        <v/>
      </c>
      <c r="J374" s="68"/>
      <c r="K374" s="69"/>
      <c r="L374" s="102"/>
      <c r="M374" s="102"/>
      <c r="N374" s="68"/>
      <c r="O374" s="68"/>
      <c r="P374" s="106"/>
      <c r="Q374" s="107"/>
      <c r="R374" s="107"/>
      <c r="S374" s="107"/>
      <c r="T374" s="107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</row>
    <row r="375" spans="2:36" x14ac:dyDescent="0.25">
      <c r="B375" s="68"/>
      <c r="C375" s="68"/>
      <c r="D375" s="70"/>
      <c r="E375" s="68"/>
      <c r="F375" s="96"/>
      <c r="G375" s="95" t="str">
        <f t="shared" si="5"/>
        <v/>
      </c>
      <c r="H375" s="91" t="str">
        <f>IF(E375&lt;&gt;"",E375/'Project Summary'!$C$9,"")</f>
        <v/>
      </c>
      <c r="I375" s="97" t="str">
        <f>IF(F375&lt;&gt;"",F375/'Project Summary'!$C$10, "")</f>
        <v/>
      </c>
      <c r="J375" s="68"/>
      <c r="K375" s="69"/>
      <c r="L375" s="102"/>
      <c r="M375" s="102"/>
      <c r="N375" s="68"/>
      <c r="O375" s="68"/>
      <c r="P375" s="106"/>
      <c r="Q375" s="107"/>
      <c r="R375" s="107"/>
      <c r="S375" s="107"/>
      <c r="T375" s="107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</row>
    <row r="376" spans="2:36" x14ac:dyDescent="0.25">
      <c r="B376" s="68"/>
      <c r="C376" s="68"/>
      <c r="D376" s="70"/>
      <c r="E376" s="68"/>
      <c r="F376" s="96"/>
      <c r="G376" s="95" t="str">
        <f t="shared" si="5"/>
        <v/>
      </c>
      <c r="H376" s="91" t="str">
        <f>IF(E376&lt;&gt;"",E376/'Project Summary'!$C$9,"")</f>
        <v/>
      </c>
      <c r="I376" s="97" t="str">
        <f>IF(F376&lt;&gt;"",F376/'Project Summary'!$C$10, "")</f>
        <v/>
      </c>
      <c r="J376" s="68"/>
      <c r="K376" s="69"/>
      <c r="L376" s="102"/>
      <c r="M376" s="102"/>
      <c r="N376" s="68"/>
      <c r="O376" s="68"/>
      <c r="P376" s="106"/>
      <c r="Q376" s="107"/>
      <c r="R376" s="107"/>
      <c r="S376" s="107"/>
      <c r="T376" s="107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</row>
    <row r="377" spans="2:36" x14ac:dyDescent="0.25">
      <c r="B377" s="68"/>
      <c r="C377" s="68"/>
      <c r="D377" s="70"/>
      <c r="E377" s="68"/>
      <c r="F377" s="96"/>
      <c r="G377" s="95" t="str">
        <f t="shared" si="5"/>
        <v/>
      </c>
      <c r="H377" s="91" t="str">
        <f>IF(E377&lt;&gt;"",E377/'Project Summary'!$C$9,"")</f>
        <v/>
      </c>
      <c r="I377" s="97" t="str">
        <f>IF(F377&lt;&gt;"",F377/'Project Summary'!$C$10, "")</f>
        <v/>
      </c>
      <c r="J377" s="68"/>
      <c r="K377" s="69"/>
      <c r="L377" s="102"/>
      <c r="M377" s="102"/>
      <c r="N377" s="68"/>
      <c r="O377" s="68"/>
      <c r="P377" s="106"/>
      <c r="Q377" s="107"/>
      <c r="R377" s="107"/>
      <c r="S377" s="107"/>
      <c r="T377" s="107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</row>
    <row r="378" spans="2:36" x14ac:dyDescent="0.25">
      <c r="B378" s="68"/>
      <c r="C378" s="68"/>
      <c r="D378" s="70"/>
      <c r="E378" s="68"/>
      <c r="F378" s="96"/>
      <c r="G378" s="95" t="str">
        <f t="shared" si="5"/>
        <v/>
      </c>
      <c r="H378" s="91" t="str">
        <f>IF(E378&lt;&gt;"",E378/'Project Summary'!$C$9,"")</f>
        <v/>
      </c>
      <c r="I378" s="97" t="str">
        <f>IF(F378&lt;&gt;"",F378/'Project Summary'!$C$10, "")</f>
        <v/>
      </c>
      <c r="J378" s="68"/>
      <c r="K378" s="69"/>
      <c r="L378" s="102"/>
      <c r="M378" s="102"/>
      <c r="N378" s="68"/>
      <c r="O378" s="68"/>
      <c r="P378" s="106"/>
      <c r="Q378" s="107"/>
      <c r="R378" s="107"/>
      <c r="S378" s="107"/>
      <c r="T378" s="107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</row>
    <row r="379" spans="2:36" x14ac:dyDescent="0.25">
      <c r="B379" s="68"/>
      <c r="C379" s="68"/>
      <c r="D379" s="70"/>
      <c r="E379" s="68"/>
      <c r="F379" s="96"/>
      <c r="G379" s="95" t="str">
        <f t="shared" si="5"/>
        <v/>
      </c>
      <c r="H379" s="91" t="str">
        <f>IF(E379&lt;&gt;"",E379/'Project Summary'!$C$9,"")</f>
        <v/>
      </c>
      <c r="I379" s="97" t="str">
        <f>IF(F379&lt;&gt;"",F379/'Project Summary'!$C$10, "")</f>
        <v/>
      </c>
      <c r="J379" s="68"/>
      <c r="K379" s="69"/>
      <c r="L379" s="102"/>
      <c r="M379" s="102"/>
      <c r="N379" s="68"/>
      <c r="O379" s="68"/>
      <c r="P379" s="106"/>
      <c r="Q379" s="107"/>
      <c r="R379" s="107"/>
      <c r="S379" s="107"/>
      <c r="T379" s="107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</row>
    <row r="380" spans="2:36" x14ac:dyDescent="0.25">
      <c r="B380" s="68"/>
      <c r="C380" s="68"/>
      <c r="D380" s="70"/>
      <c r="E380" s="68"/>
      <c r="F380" s="96"/>
      <c r="G380" s="95" t="str">
        <f t="shared" si="5"/>
        <v/>
      </c>
      <c r="H380" s="91" t="str">
        <f>IF(E380&lt;&gt;"",E380/'Project Summary'!$C$9,"")</f>
        <v/>
      </c>
      <c r="I380" s="97" t="str">
        <f>IF(F380&lt;&gt;"",F380/'Project Summary'!$C$10, "")</f>
        <v/>
      </c>
      <c r="J380" s="68"/>
      <c r="K380" s="69"/>
      <c r="L380" s="102"/>
      <c r="M380" s="102"/>
      <c r="N380" s="68"/>
      <c r="O380" s="68"/>
      <c r="P380" s="106"/>
      <c r="Q380" s="107"/>
      <c r="R380" s="107"/>
      <c r="S380" s="107"/>
      <c r="T380" s="107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</row>
    <row r="381" spans="2:36" x14ac:dyDescent="0.25">
      <c r="B381" s="68"/>
      <c r="C381" s="68"/>
      <c r="D381" s="70"/>
      <c r="E381" s="68"/>
      <c r="F381" s="96"/>
      <c r="G381" s="95" t="str">
        <f t="shared" si="5"/>
        <v/>
      </c>
      <c r="H381" s="91" t="str">
        <f>IF(E381&lt;&gt;"",E381/'Project Summary'!$C$9,"")</f>
        <v/>
      </c>
      <c r="I381" s="97" t="str">
        <f>IF(F381&lt;&gt;"",F381/'Project Summary'!$C$10, "")</f>
        <v/>
      </c>
      <c r="J381" s="68"/>
      <c r="K381" s="69"/>
      <c r="L381" s="102"/>
      <c r="M381" s="102"/>
      <c r="N381" s="68"/>
      <c r="O381" s="68"/>
      <c r="P381" s="106"/>
      <c r="Q381" s="107"/>
      <c r="R381" s="107"/>
      <c r="S381" s="107"/>
      <c r="T381" s="107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</row>
    <row r="382" spans="2:36" x14ac:dyDescent="0.25">
      <c r="B382" s="68"/>
      <c r="C382" s="68"/>
      <c r="D382" s="70"/>
      <c r="E382" s="68"/>
      <c r="F382" s="96"/>
      <c r="G382" s="95" t="str">
        <f t="shared" si="5"/>
        <v/>
      </c>
      <c r="H382" s="91" t="str">
        <f>IF(E382&lt;&gt;"",E382/'Project Summary'!$C$9,"")</f>
        <v/>
      </c>
      <c r="I382" s="97" t="str">
        <f>IF(F382&lt;&gt;"",F382/'Project Summary'!$C$10, "")</f>
        <v/>
      </c>
      <c r="J382" s="68"/>
      <c r="K382" s="69"/>
      <c r="L382" s="102"/>
      <c r="M382" s="102"/>
      <c r="N382" s="68"/>
      <c r="O382" s="68"/>
      <c r="P382" s="106"/>
      <c r="Q382" s="107"/>
      <c r="R382" s="107"/>
      <c r="S382" s="107"/>
      <c r="T382" s="107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</row>
    <row r="383" spans="2:36" x14ac:dyDescent="0.25">
      <c r="B383" s="68"/>
      <c r="C383" s="68"/>
      <c r="D383" s="70"/>
      <c r="E383" s="68"/>
      <c r="F383" s="96"/>
      <c r="G383" s="95" t="str">
        <f t="shared" si="5"/>
        <v/>
      </c>
      <c r="H383" s="91" t="str">
        <f>IF(E383&lt;&gt;"",E383/'Project Summary'!$C$9,"")</f>
        <v/>
      </c>
      <c r="I383" s="97" t="str">
        <f>IF(F383&lt;&gt;"",F383/'Project Summary'!$C$10, "")</f>
        <v/>
      </c>
      <c r="J383" s="68"/>
      <c r="K383" s="69"/>
      <c r="L383" s="102"/>
      <c r="M383" s="102"/>
      <c r="N383" s="68"/>
      <c r="O383" s="68"/>
      <c r="P383" s="106"/>
      <c r="Q383" s="107"/>
      <c r="R383" s="107"/>
      <c r="S383" s="107"/>
      <c r="T383" s="107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</row>
    <row r="384" spans="2:36" x14ac:dyDescent="0.25">
      <c r="B384" s="68"/>
      <c r="C384" s="68"/>
      <c r="D384" s="70"/>
      <c r="E384" s="68"/>
      <c r="F384" s="96"/>
      <c r="G384" s="95" t="str">
        <f t="shared" si="5"/>
        <v/>
      </c>
      <c r="H384" s="91" t="str">
        <f>IF(E384&lt;&gt;"",E384/'Project Summary'!$C$9,"")</f>
        <v/>
      </c>
      <c r="I384" s="97" t="str">
        <f>IF(F384&lt;&gt;"",F384/'Project Summary'!$C$10, "")</f>
        <v/>
      </c>
      <c r="J384" s="68"/>
      <c r="K384" s="69"/>
      <c r="L384" s="102"/>
      <c r="M384" s="102"/>
      <c r="N384" s="68"/>
      <c r="O384" s="68"/>
      <c r="P384" s="106"/>
      <c r="Q384" s="107"/>
      <c r="R384" s="107"/>
      <c r="S384" s="107"/>
      <c r="T384" s="107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</row>
    <row r="385" spans="2:36" x14ac:dyDescent="0.25">
      <c r="B385" s="68"/>
      <c r="C385" s="68"/>
      <c r="D385" s="70"/>
      <c r="E385" s="68"/>
      <c r="F385" s="96"/>
      <c r="G385" s="95" t="str">
        <f t="shared" si="5"/>
        <v/>
      </c>
      <c r="H385" s="91" t="str">
        <f>IF(E385&lt;&gt;"",E385/'Project Summary'!$C$9,"")</f>
        <v/>
      </c>
      <c r="I385" s="97" t="str">
        <f>IF(F385&lt;&gt;"",F385/'Project Summary'!$C$10, "")</f>
        <v/>
      </c>
      <c r="J385" s="68"/>
      <c r="K385" s="69"/>
      <c r="L385" s="102"/>
      <c r="M385" s="102"/>
      <c r="N385" s="68"/>
      <c r="O385" s="68"/>
      <c r="P385" s="106"/>
      <c r="Q385" s="107"/>
      <c r="R385" s="107"/>
      <c r="S385" s="107"/>
      <c r="T385" s="107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</row>
    <row r="386" spans="2:36" x14ac:dyDescent="0.25">
      <c r="B386" s="68"/>
      <c r="C386" s="68"/>
      <c r="D386" s="70"/>
      <c r="E386" s="68"/>
      <c r="F386" s="96"/>
      <c r="G386" s="95" t="str">
        <f t="shared" si="5"/>
        <v/>
      </c>
      <c r="H386" s="91" t="str">
        <f>IF(E386&lt;&gt;"",E386/'Project Summary'!$C$9,"")</f>
        <v/>
      </c>
      <c r="I386" s="97" t="str">
        <f>IF(F386&lt;&gt;"",F386/'Project Summary'!$C$10, "")</f>
        <v/>
      </c>
      <c r="J386" s="68"/>
      <c r="K386" s="69"/>
      <c r="L386" s="102"/>
      <c r="M386" s="102"/>
      <c r="N386" s="68"/>
      <c r="O386" s="68"/>
      <c r="P386" s="106"/>
      <c r="Q386" s="107"/>
      <c r="R386" s="107"/>
      <c r="S386" s="107"/>
      <c r="T386" s="107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</row>
    <row r="387" spans="2:36" x14ac:dyDescent="0.25">
      <c r="B387" s="68"/>
      <c r="C387" s="68"/>
      <c r="D387" s="70"/>
      <c r="E387" s="68"/>
      <c r="F387" s="96"/>
      <c r="G387" s="95" t="str">
        <f t="shared" si="5"/>
        <v/>
      </c>
      <c r="H387" s="91" t="str">
        <f>IF(E387&lt;&gt;"",E387/'Project Summary'!$C$9,"")</f>
        <v/>
      </c>
      <c r="I387" s="97" t="str">
        <f>IF(F387&lt;&gt;"",F387/'Project Summary'!$C$10, "")</f>
        <v/>
      </c>
      <c r="J387" s="68"/>
      <c r="K387" s="69"/>
      <c r="L387" s="102"/>
      <c r="M387" s="102"/>
      <c r="N387" s="68"/>
      <c r="O387" s="68"/>
      <c r="P387" s="106"/>
      <c r="Q387" s="107"/>
      <c r="R387" s="107"/>
      <c r="S387" s="107"/>
      <c r="T387" s="107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</row>
    <row r="388" spans="2:36" x14ac:dyDescent="0.25">
      <c r="B388" s="68"/>
      <c r="C388" s="68"/>
      <c r="D388" s="70"/>
      <c r="E388" s="68"/>
      <c r="F388" s="96"/>
      <c r="G388" s="95" t="str">
        <f t="shared" si="5"/>
        <v/>
      </c>
      <c r="H388" s="91" t="str">
        <f>IF(E388&lt;&gt;"",E388/'Project Summary'!$C$9,"")</f>
        <v/>
      </c>
      <c r="I388" s="97" t="str">
        <f>IF(F388&lt;&gt;"",F388/'Project Summary'!$C$10, "")</f>
        <v/>
      </c>
      <c r="J388" s="68"/>
      <c r="K388" s="69"/>
      <c r="L388" s="102"/>
      <c r="M388" s="102"/>
      <c r="N388" s="68"/>
      <c r="O388" s="68"/>
      <c r="P388" s="106"/>
      <c r="Q388" s="107"/>
      <c r="R388" s="107"/>
      <c r="S388" s="107"/>
      <c r="T388" s="107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</row>
    <row r="389" spans="2:36" x14ac:dyDescent="0.25">
      <c r="B389" s="68"/>
      <c r="C389" s="68"/>
      <c r="D389" s="70"/>
      <c r="E389" s="68"/>
      <c r="F389" s="96"/>
      <c r="G389" s="95" t="str">
        <f t="shared" si="5"/>
        <v/>
      </c>
      <c r="H389" s="91" t="str">
        <f>IF(E389&lt;&gt;"",E389/'Project Summary'!$C$9,"")</f>
        <v/>
      </c>
      <c r="I389" s="97" t="str">
        <f>IF(F389&lt;&gt;"",F389/'Project Summary'!$C$10, "")</f>
        <v/>
      </c>
      <c r="J389" s="68"/>
      <c r="K389" s="69"/>
      <c r="L389" s="102"/>
      <c r="M389" s="102"/>
      <c r="N389" s="68"/>
      <c r="O389" s="68"/>
      <c r="P389" s="106"/>
      <c r="Q389" s="107"/>
      <c r="R389" s="107"/>
      <c r="S389" s="107"/>
      <c r="T389" s="107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</row>
    <row r="390" spans="2:36" x14ac:dyDescent="0.25">
      <c r="B390" s="68"/>
      <c r="C390" s="68"/>
      <c r="D390" s="70"/>
      <c r="E390" s="68"/>
      <c r="F390" s="96"/>
      <c r="G390" s="95" t="str">
        <f t="shared" si="5"/>
        <v/>
      </c>
      <c r="H390" s="91" t="str">
        <f>IF(E390&lt;&gt;"",E390/'Project Summary'!$C$9,"")</f>
        <v/>
      </c>
      <c r="I390" s="97" t="str">
        <f>IF(F390&lt;&gt;"",F390/'Project Summary'!$C$10, "")</f>
        <v/>
      </c>
      <c r="J390" s="68"/>
      <c r="K390" s="69"/>
      <c r="L390" s="102"/>
      <c r="M390" s="102"/>
      <c r="N390" s="68"/>
      <c r="O390" s="68"/>
      <c r="P390" s="106"/>
      <c r="Q390" s="107"/>
      <c r="R390" s="107"/>
      <c r="S390" s="107"/>
      <c r="T390" s="107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</row>
    <row r="391" spans="2:36" x14ac:dyDescent="0.25">
      <c r="B391" s="68"/>
      <c r="C391" s="68"/>
      <c r="D391" s="70"/>
      <c r="E391" s="68"/>
      <c r="F391" s="96"/>
      <c r="G391" s="95" t="str">
        <f t="shared" si="5"/>
        <v/>
      </c>
      <c r="H391" s="91" t="str">
        <f>IF(E391&lt;&gt;"",E391/'Project Summary'!$C$9,"")</f>
        <v/>
      </c>
      <c r="I391" s="97" t="str">
        <f>IF(F391&lt;&gt;"",F391/'Project Summary'!$C$10, "")</f>
        <v/>
      </c>
      <c r="J391" s="68"/>
      <c r="K391" s="69"/>
      <c r="L391" s="102"/>
      <c r="M391" s="102"/>
      <c r="N391" s="68"/>
      <c r="O391" s="68"/>
      <c r="P391" s="106"/>
      <c r="Q391" s="107"/>
      <c r="R391" s="107"/>
      <c r="S391" s="107"/>
      <c r="T391" s="107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</row>
    <row r="392" spans="2:36" x14ac:dyDescent="0.25">
      <c r="B392" s="68"/>
      <c r="C392" s="68"/>
      <c r="D392" s="70"/>
      <c r="E392" s="68"/>
      <c r="F392" s="96"/>
      <c r="G392" s="95" t="str">
        <f t="shared" si="5"/>
        <v/>
      </c>
      <c r="H392" s="91" t="str">
        <f>IF(E392&lt;&gt;"",E392/'Project Summary'!$C$9,"")</f>
        <v/>
      </c>
      <c r="I392" s="97" t="str">
        <f>IF(F392&lt;&gt;"",F392/'Project Summary'!$C$10, "")</f>
        <v/>
      </c>
      <c r="J392" s="68"/>
      <c r="K392" s="69"/>
      <c r="L392" s="102"/>
      <c r="M392" s="102"/>
      <c r="N392" s="68"/>
      <c r="O392" s="68"/>
      <c r="P392" s="106"/>
      <c r="Q392" s="107"/>
      <c r="R392" s="107"/>
      <c r="S392" s="107"/>
      <c r="T392" s="107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</row>
    <row r="393" spans="2:36" x14ac:dyDescent="0.25">
      <c r="B393" s="68"/>
      <c r="C393" s="68"/>
      <c r="D393" s="70"/>
      <c r="E393" s="68"/>
      <c r="F393" s="96"/>
      <c r="G393" s="95" t="str">
        <f t="shared" si="5"/>
        <v/>
      </c>
      <c r="H393" s="91" t="str">
        <f>IF(E393&lt;&gt;"",E393/'Project Summary'!$C$9,"")</f>
        <v/>
      </c>
      <c r="I393" s="97" t="str">
        <f>IF(F393&lt;&gt;"",F393/'Project Summary'!$C$10, "")</f>
        <v/>
      </c>
      <c r="J393" s="68"/>
      <c r="K393" s="69"/>
      <c r="L393" s="102"/>
      <c r="M393" s="102"/>
      <c r="N393" s="68"/>
      <c r="O393" s="68"/>
      <c r="P393" s="106"/>
      <c r="Q393" s="107"/>
      <c r="R393" s="107"/>
      <c r="S393" s="107"/>
      <c r="T393" s="107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</row>
    <row r="394" spans="2:36" x14ac:dyDescent="0.25">
      <c r="B394" s="68"/>
      <c r="C394" s="68"/>
      <c r="D394" s="70"/>
      <c r="E394" s="68"/>
      <c r="F394" s="96"/>
      <c r="G394" s="95" t="str">
        <f t="shared" si="5"/>
        <v/>
      </c>
      <c r="H394" s="91" t="str">
        <f>IF(E394&lt;&gt;"",E394/'Project Summary'!$C$9,"")</f>
        <v/>
      </c>
      <c r="I394" s="97" t="str">
        <f>IF(F394&lt;&gt;"",F394/'Project Summary'!$C$10, "")</f>
        <v/>
      </c>
      <c r="J394" s="68"/>
      <c r="K394" s="69"/>
      <c r="L394" s="102"/>
      <c r="M394" s="102"/>
      <c r="N394" s="68"/>
      <c r="O394" s="68"/>
      <c r="P394" s="106"/>
      <c r="Q394" s="107"/>
      <c r="R394" s="107"/>
      <c r="S394" s="107"/>
      <c r="T394" s="107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</row>
    <row r="395" spans="2:36" x14ac:dyDescent="0.25">
      <c r="B395" s="68"/>
      <c r="C395" s="68"/>
      <c r="D395" s="70"/>
      <c r="E395" s="68"/>
      <c r="F395" s="96"/>
      <c r="G395" s="95" t="str">
        <f t="shared" si="5"/>
        <v/>
      </c>
      <c r="H395" s="91" t="str">
        <f>IF(E395&lt;&gt;"",E395/'Project Summary'!$C$9,"")</f>
        <v/>
      </c>
      <c r="I395" s="97" t="str">
        <f>IF(F395&lt;&gt;"",F395/'Project Summary'!$C$10, "")</f>
        <v/>
      </c>
      <c r="J395" s="68"/>
      <c r="K395" s="69"/>
      <c r="L395" s="102"/>
      <c r="M395" s="102"/>
      <c r="N395" s="68"/>
      <c r="O395" s="68"/>
      <c r="P395" s="106"/>
      <c r="Q395" s="107"/>
      <c r="R395" s="107"/>
      <c r="S395" s="107"/>
      <c r="T395" s="107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</row>
    <row r="396" spans="2:36" x14ac:dyDescent="0.25">
      <c r="B396" s="68"/>
      <c r="C396" s="68"/>
      <c r="D396" s="70"/>
      <c r="E396" s="68"/>
      <c r="F396" s="96"/>
      <c r="G396" s="95" t="str">
        <f t="shared" ref="G396:G459" si="6">IF(D396&lt;&gt;"", D396/E396, "")</f>
        <v/>
      </c>
      <c r="H396" s="91" t="str">
        <f>IF(E396&lt;&gt;"",E396/'Project Summary'!$C$9,"")</f>
        <v/>
      </c>
      <c r="I396" s="97" t="str">
        <f>IF(F396&lt;&gt;"",F396/'Project Summary'!$C$10, "")</f>
        <v/>
      </c>
      <c r="J396" s="68"/>
      <c r="K396" s="69"/>
      <c r="L396" s="102"/>
      <c r="M396" s="102"/>
      <c r="N396" s="68"/>
      <c r="O396" s="68"/>
      <c r="P396" s="106"/>
      <c r="Q396" s="107"/>
      <c r="R396" s="107"/>
      <c r="S396" s="107"/>
      <c r="T396" s="107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</row>
    <row r="397" spans="2:36" x14ac:dyDescent="0.25">
      <c r="B397" s="68"/>
      <c r="C397" s="68"/>
      <c r="D397" s="70"/>
      <c r="E397" s="68"/>
      <c r="F397" s="96"/>
      <c r="G397" s="95" t="str">
        <f t="shared" si="6"/>
        <v/>
      </c>
      <c r="H397" s="91" t="str">
        <f>IF(E397&lt;&gt;"",E397/'Project Summary'!$C$9,"")</f>
        <v/>
      </c>
      <c r="I397" s="97" t="str">
        <f>IF(F397&lt;&gt;"",F397/'Project Summary'!$C$10, "")</f>
        <v/>
      </c>
      <c r="J397" s="68"/>
      <c r="K397" s="69"/>
      <c r="L397" s="102"/>
      <c r="M397" s="102"/>
      <c r="N397" s="68"/>
      <c r="O397" s="68"/>
      <c r="P397" s="106"/>
      <c r="Q397" s="107"/>
      <c r="R397" s="107"/>
      <c r="S397" s="107"/>
      <c r="T397" s="107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</row>
    <row r="398" spans="2:36" x14ac:dyDescent="0.25">
      <c r="B398" s="68"/>
      <c r="C398" s="68"/>
      <c r="D398" s="70"/>
      <c r="E398" s="68"/>
      <c r="F398" s="96"/>
      <c r="G398" s="95" t="str">
        <f t="shared" si="6"/>
        <v/>
      </c>
      <c r="H398" s="91" t="str">
        <f>IF(E398&lt;&gt;"",E398/'Project Summary'!$C$9,"")</f>
        <v/>
      </c>
      <c r="I398" s="97" t="str">
        <f>IF(F398&lt;&gt;"",F398/'Project Summary'!$C$10, "")</f>
        <v/>
      </c>
      <c r="J398" s="68"/>
      <c r="K398" s="69"/>
      <c r="L398" s="102"/>
      <c r="M398" s="102"/>
      <c r="N398" s="68"/>
      <c r="O398" s="68"/>
      <c r="P398" s="106"/>
      <c r="Q398" s="107"/>
      <c r="R398" s="107"/>
      <c r="S398" s="107"/>
      <c r="T398" s="107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</row>
    <row r="399" spans="2:36" x14ac:dyDescent="0.25">
      <c r="B399" s="68"/>
      <c r="C399" s="68"/>
      <c r="D399" s="70"/>
      <c r="E399" s="68"/>
      <c r="F399" s="96"/>
      <c r="G399" s="95" t="str">
        <f t="shared" si="6"/>
        <v/>
      </c>
      <c r="H399" s="91" t="str">
        <f>IF(E399&lt;&gt;"",E399/'Project Summary'!$C$9,"")</f>
        <v/>
      </c>
      <c r="I399" s="97" t="str">
        <f>IF(F399&lt;&gt;"",F399/'Project Summary'!$C$10, "")</f>
        <v/>
      </c>
      <c r="J399" s="68"/>
      <c r="K399" s="69"/>
      <c r="L399" s="102"/>
      <c r="M399" s="102"/>
      <c r="N399" s="68"/>
      <c r="O399" s="68"/>
      <c r="P399" s="106"/>
      <c r="Q399" s="107"/>
      <c r="R399" s="107"/>
      <c r="S399" s="107"/>
      <c r="T399" s="107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</row>
    <row r="400" spans="2:36" x14ac:dyDescent="0.25">
      <c r="B400" s="68"/>
      <c r="C400" s="68"/>
      <c r="D400" s="70"/>
      <c r="E400" s="68"/>
      <c r="F400" s="96"/>
      <c r="G400" s="95" t="str">
        <f t="shared" si="6"/>
        <v/>
      </c>
      <c r="H400" s="91" t="str">
        <f>IF(E400&lt;&gt;"",E400/'Project Summary'!$C$9,"")</f>
        <v/>
      </c>
      <c r="I400" s="97" t="str">
        <f>IF(F400&lt;&gt;"",F400/'Project Summary'!$C$10, "")</f>
        <v/>
      </c>
      <c r="J400" s="68"/>
      <c r="K400" s="69"/>
      <c r="L400" s="102"/>
      <c r="M400" s="102"/>
      <c r="N400" s="68"/>
      <c r="O400" s="68"/>
      <c r="P400" s="106"/>
      <c r="Q400" s="107"/>
      <c r="R400" s="107"/>
      <c r="S400" s="107"/>
      <c r="T400" s="107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</row>
    <row r="401" spans="2:36" x14ac:dyDescent="0.25">
      <c r="B401" s="68"/>
      <c r="C401" s="68"/>
      <c r="D401" s="70"/>
      <c r="E401" s="68"/>
      <c r="F401" s="96"/>
      <c r="G401" s="95" t="str">
        <f t="shared" si="6"/>
        <v/>
      </c>
      <c r="H401" s="91" t="str">
        <f>IF(E401&lt;&gt;"",E401/'Project Summary'!$C$9,"")</f>
        <v/>
      </c>
      <c r="I401" s="97" t="str">
        <f>IF(F401&lt;&gt;"",F401/'Project Summary'!$C$10, "")</f>
        <v/>
      </c>
      <c r="J401" s="68"/>
      <c r="K401" s="69"/>
      <c r="L401" s="102"/>
      <c r="M401" s="102"/>
      <c r="N401" s="68"/>
      <c r="O401" s="68"/>
      <c r="P401" s="106"/>
      <c r="Q401" s="107"/>
      <c r="R401" s="107"/>
      <c r="S401" s="107"/>
      <c r="T401" s="107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</row>
    <row r="402" spans="2:36" x14ac:dyDescent="0.25">
      <c r="B402" s="68"/>
      <c r="C402" s="68"/>
      <c r="D402" s="70"/>
      <c r="E402" s="68"/>
      <c r="F402" s="96"/>
      <c r="G402" s="95" t="str">
        <f t="shared" si="6"/>
        <v/>
      </c>
      <c r="H402" s="91" t="str">
        <f>IF(E402&lt;&gt;"",E402/'Project Summary'!$C$9,"")</f>
        <v/>
      </c>
      <c r="I402" s="97" t="str">
        <f>IF(F402&lt;&gt;"",F402/'Project Summary'!$C$10, "")</f>
        <v/>
      </c>
      <c r="J402" s="68"/>
      <c r="K402" s="69"/>
      <c r="L402" s="102"/>
      <c r="M402" s="102"/>
      <c r="N402" s="68"/>
      <c r="O402" s="68"/>
      <c r="P402" s="106"/>
      <c r="Q402" s="107"/>
      <c r="R402" s="107"/>
      <c r="S402" s="107"/>
      <c r="T402" s="107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</row>
    <row r="403" spans="2:36" x14ac:dyDescent="0.25">
      <c r="B403" s="68"/>
      <c r="C403" s="68"/>
      <c r="D403" s="70"/>
      <c r="E403" s="68"/>
      <c r="F403" s="96"/>
      <c r="G403" s="95" t="str">
        <f t="shared" si="6"/>
        <v/>
      </c>
      <c r="H403" s="91" t="str">
        <f>IF(E403&lt;&gt;"",E403/'Project Summary'!$C$9,"")</f>
        <v/>
      </c>
      <c r="I403" s="97" t="str">
        <f>IF(F403&lt;&gt;"",F403/'Project Summary'!$C$10, "")</f>
        <v/>
      </c>
      <c r="J403" s="68"/>
      <c r="K403" s="69"/>
      <c r="L403" s="102"/>
      <c r="M403" s="102"/>
      <c r="N403" s="68"/>
      <c r="O403" s="68"/>
      <c r="P403" s="106"/>
      <c r="Q403" s="107"/>
      <c r="R403" s="107"/>
      <c r="S403" s="107"/>
      <c r="T403" s="107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</row>
    <row r="404" spans="2:36" x14ac:dyDescent="0.25">
      <c r="B404" s="68"/>
      <c r="C404" s="68"/>
      <c r="D404" s="70"/>
      <c r="E404" s="68"/>
      <c r="F404" s="96"/>
      <c r="G404" s="95" t="str">
        <f t="shared" si="6"/>
        <v/>
      </c>
      <c r="H404" s="91" t="str">
        <f>IF(E404&lt;&gt;"",E404/'Project Summary'!$C$9,"")</f>
        <v/>
      </c>
      <c r="I404" s="97" t="str">
        <f>IF(F404&lt;&gt;"",F404/'Project Summary'!$C$10, "")</f>
        <v/>
      </c>
      <c r="J404" s="68"/>
      <c r="K404" s="69"/>
      <c r="L404" s="102"/>
      <c r="M404" s="102"/>
      <c r="N404" s="68"/>
      <c r="O404" s="68"/>
      <c r="P404" s="106"/>
      <c r="Q404" s="107"/>
      <c r="R404" s="107"/>
      <c r="S404" s="107"/>
      <c r="T404" s="107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</row>
    <row r="405" spans="2:36" x14ac:dyDescent="0.25">
      <c r="B405" s="68"/>
      <c r="C405" s="68"/>
      <c r="D405" s="70"/>
      <c r="E405" s="68"/>
      <c r="F405" s="96"/>
      <c r="G405" s="95" t="str">
        <f t="shared" si="6"/>
        <v/>
      </c>
      <c r="H405" s="91" t="str">
        <f>IF(E405&lt;&gt;"",E405/'Project Summary'!$C$9,"")</f>
        <v/>
      </c>
      <c r="I405" s="97" t="str">
        <f>IF(F405&lt;&gt;"",F405/'Project Summary'!$C$10, "")</f>
        <v/>
      </c>
      <c r="J405" s="68"/>
      <c r="K405" s="69"/>
      <c r="L405" s="102"/>
      <c r="M405" s="102"/>
      <c r="N405" s="68"/>
      <c r="O405" s="68"/>
      <c r="P405" s="106"/>
      <c r="Q405" s="107"/>
      <c r="R405" s="107"/>
      <c r="S405" s="107"/>
      <c r="T405" s="107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</row>
    <row r="406" spans="2:36" x14ac:dyDescent="0.25">
      <c r="B406" s="68"/>
      <c r="C406" s="68"/>
      <c r="D406" s="70"/>
      <c r="E406" s="68"/>
      <c r="F406" s="96"/>
      <c r="G406" s="95" t="str">
        <f t="shared" si="6"/>
        <v/>
      </c>
      <c r="H406" s="91" t="str">
        <f>IF(E406&lt;&gt;"",E406/'Project Summary'!$C$9,"")</f>
        <v/>
      </c>
      <c r="I406" s="97" t="str">
        <f>IF(F406&lt;&gt;"",F406/'Project Summary'!$C$10, "")</f>
        <v/>
      </c>
      <c r="J406" s="68"/>
      <c r="K406" s="69"/>
      <c r="L406" s="102"/>
      <c r="M406" s="102"/>
      <c r="N406" s="68"/>
      <c r="O406" s="68"/>
      <c r="P406" s="106"/>
      <c r="Q406" s="107"/>
      <c r="R406" s="107"/>
      <c r="S406" s="107"/>
      <c r="T406" s="107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</row>
    <row r="407" spans="2:36" x14ac:dyDescent="0.25">
      <c r="B407" s="68"/>
      <c r="C407" s="68"/>
      <c r="D407" s="70"/>
      <c r="E407" s="68"/>
      <c r="F407" s="96"/>
      <c r="G407" s="95" t="str">
        <f t="shared" si="6"/>
        <v/>
      </c>
      <c r="H407" s="91" t="str">
        <f>IF(E407&lt;&gt;"",E407/'Project Summary'!$C$9,"")</f>
        <v/>
      </c>
      <c r="I407" s="97" t="str">
        <f>IF(F407&lt;&gt;"",F407/'Project Summary'!$C$10, "")</f>
        <v/>
      </c>
      <c r="J407" s="68"/>
      <c r="K407" s="69"/>
      <c r="L407" s="102"/>
      <c r="M407" s="102"/>
      <c r="N407" s="68"/>
      <c r="O407" s="68"/>
      <c r="P407" s="106"/>
      <c r="Q407" s="107"/>
      <c r="R407" s="107"/>
      <c r="S407" s="107"/>
      <c r="T407" s="107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</row>
    <row r="408" spans="2:36" x14ac:dyDescent="0.25">
      <c r="B408" s="68"/>
      <c r="C408" s="68"/>
      <c r="D408" s="70"/>
      <c r="E408" s="68"/>
      <c r="F408" s="96"/>
      <c r="G408" s="95" t="str">
        <f t="shared" si="6"/>
        <v/>
      </c>
      <c r="H408" s="91" t="str">
        <f>IF(E408&lt;&gt;"",E408/'Project Summary'!$C$9,"")</f>
        <v/>
      </c>
      <c r="I408" s="97" t="str">
        <f>IF(F408&lt;&gt;"",F408/'Project Summary'!$C$10, "")</f>
        <v/>
      </c>
      <c r="J408" s="68"/>
      <c r="K408" s="69"/>
      <c r="L408" s="102"/>
      <c r="M408" s="102"/>
      <c r="N408" s="68"/>
      <c r="O408" s="68"/>
      <c r="P408" s="106"/>
      <c r="Q408" s="107"/>
      <c r="R408" s="107"/>
      <c r="S408" s="107"/>
      <c r="T408" s="107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</row>
    <row r="409" spans="2:36" x14ac:dyDescent="0.25">
      <c r="B409" s="68"/>
      <c r="C409" s="68"/>
      <c r="D409" s="70"/>
      <c r="E409" s="68"/>
      <c r="F409" s="96"/>
      <c r="G409" s="95" t="str">
        <f t="shared" si="6"/>
        <v/>
      </c>
      <c r="H409" s="91" t="str">
        <f>IF(E409&lt;&gt;"",E409/'Project Summary'!$C$9,"")</f>
        <v/>
      </c>
      <c r="I409" s="97" t="str">
        <f>IF(F409&lt;&gt;"",F409/'Project Summary'!$C$10, "")</f>
        <v/>
      </c>
      <c r="J409" s="68"/>
      <c r="K409" s="69"/>
      <c r="L409" s="102"/>
      <c r="M409" s="102"/>
      <c r="N409" s="68"/>
      <c r="O409" s="68"/>
      <c r="P409" s="106"/>
      <c r="Q409" s="107"/>
      <c r="R409" s="107"/>
      <c r="S409" s="107"/>
      <c r="T409" s="107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</row>
    <row r="410" spans="2:36" x14ac:dyDescent="0.25">
      <c r="B410" s="68"/>
      <c r="C410" s="68"/>
      <c r="D410" s="70"/>
      <c r="E410" s="68"/>
      <c r="F410" s="96"/>
      <c r="G410" s="95" t="str">
        <f t="shared" si="6"/>
        <v/>
      </c>
      <c r="H410" s="91" t="str">
        <f>IF(E410&lt;&gt;"",E410/'Project Summary'!$C$9,"")</f>
        <v/>
      </c>
      <c r="I410" s="97" t="str">
        <f>IF(F410&lt;&gt;"",F410/'Project Summary'!$C$10, "")</f>
        <v/>
      </c>
      <c r="J410" s="68"/>
      <c r="K410" s="69"/>
      <c r="L410" s="102"/>
      <c r="M410" s="102"/>
      <c r="N410" s="68"/>
      <c r="O410" s="68"/>
      <c r="P410" s="106"/>
      <c r="Q410" s="107"/>
      <c r="R410" s="107"/>
      <c r="S410" s="107"/>
      <c r="T410" s="107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</row>
    <row r="411" spans="2:36" x14ac:dyDescent="0.25">
      <c r="B411" s="68"/>
      <c r="C411" s="68"/>
      <c r="D411" s="70"/>
      <c r="E411" s="68"/>
      <c r="F411" s="96"/>
      <c r="G411" s="95" t="str">
        <f t="shared" si="6"/>
        <v/>
      </c>
      <c r="H411" s="91" t="str">
        <f>IF(E411&lt;&gt;"",E411/'Project Summary'!$C$9,"")</f>
        <v/>
      </c>
      <c r="I411" s="97" t="str">
        <f>IF(F411&lt;&gt;"",F411/'Project Summary'!$C$10, "")</f>
        <v/>
      </c>
      <c r="J411" s="68"/>
      <c r="K411" s="69"/>
      <c r="L411" s="102"/>
      <c r="M411" s="102"/>
      <c r="N411" s="68"/>
      <c r="O411" s="68"/>
      <c r="P411" s="106"/>
      <c r="Q411" s="107"/>
      <c r="R411" s="107"/>
      <c r="S411" s="107"/>
      <c r="T411" s="107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</row>
    <row r="412" spans="2:36" x14ac:dyDescent="0.25">
      <c r="B412" s="68"/>
      <c r="C412" s="68"/>
      <c r="D412" s="70"/>
      <c r="E412" s="68"/>
      <c r="F412" s="96"/>
      <c r="G412" s="95" t="str">
        <f t="shared" si="6"/>
        <v/>
      </c>
      <c r="H412" s="91" t="str">
        <f>IF(E412&lt;&gt;"",E412/'Project Summary'!$C$9,"")</f>
        <v/>
      </c>
      <c r="I412" s="97" t="str">
        <f>IF(F412&lt;&gt;"",F412/'Project Summary'!$C$10, "")</f>
        <v/>
      </c>
      <c r="J412" s="68"/>
      <c r="K412" s="69"/>
      <c r="L412" s="102"/>
      <c r="M412" s="102"/>
      <c r="N412" s="68"/>
      <c r="O412" s="68"/>
      <c r="P412" s="106"/>
      <c r="Q412" s="107"/>
      <c r="R412" s="107"/>
      <c r="S412" s="107"/>
      <c r="T412" s="107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</row>
    <row r="413" spans="2:36" x14ac:dyDescent="0.25">
      <c r="B413" s="68"/>
      <c r="C413" s="68"/>
      <c r="D413" s="70"/>
      <c r="E413" s="68"/>
      <c r="F413" s="96"/>
      <c r="G413" s="95" t="str">
        <f t="shared" si="6"/>
        <v/>
      </c>
      <c r="H413" s="91" t="str">
        <f>IF(E413&lt;&gt;"",E413/'Project Summary'!$C$9,"")</f>
        <v/>
      </c>
      <c r="I413" s="97" t="str">
        <f>IF(F413&lt;&gt;"",F413/'Project Summary'!$C$10, "")</f>
        <v/>
      </c>
      <c r="J413" s="68"/>
      <c r="K413" s="69"/>
      <c r="L413" s="102"/>
      <c r="M413" s="102"/>
      <c r="N413" s="68"/>
      <c r="O413" s="68"/>
      <c r="P413" s="106"/>
      <c r="Q413" s="107"/>
      <c r="R413" s="107"/>
      <c r="S413" s="107"/>
      <c r="T413" s="107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</row>
    <row r="414" spans="2:36" x14ac:dyDescent="0.25">
      <c r="B414" s="68"/>
      <c r="C414" s="68"/>
      <c r="D414" s="70"/>
      <c r="E414" s="68"/>
      <c r="F414" s="96"/>
      <c r="G414" s="95" t="str">
        <f t="shared" si="6"/>
        <v/>
      </c>
      <c r="H414" s="91" t="str">
        <f>IF(E414&lt;&gt;"",E414/'Project Summary'!$C$9,"")</f>
        <v/>
      </c>
      <c r="I414" s="97" t="str">
        <f>IF(F414&lt;&gt;"",F414/'Project Summary'!$C$10, "")</f>
        <v/>
      </c>
      <c r="J414" s="68"/>
      <c r="K414" s="69"/>
      <c r="L414" s="102"/>
      <c r="M414" s="102"/>
      <c r="N414" s="68"/>
      <c r="O414" s="68"/>
      <c r="P414" s="106"/>
      <c r="Q414" s="107"/>
      <c r="R414" s="107"/>
      <c r="S414" s="107"/>
      <c r="T414" s="107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</row>
    <row r="415" spans="2:36" x14ac:dyDescent="0.25">
      <c r="B415" s="68"/>
      <c r="C415" s="68"/>
      <c r="D415" s="70"/>
      <c r="E415" s="68"/>
      <c r="F415" s="96"/>
      <c r="G415" s="95" t="str">
        <f t="shared" si="6"/>
        <v/>
      </c>
      <c r="H415" s="91" t="str">
        <f>IF(E415&lt;&gt;"",E415/'Project Summary'!$C$9,"")</f>
        <v/>
      </c>
      <c r="I415" s="97" t="str">
        <f>IF(F415&lt;&gt;"",F415/'Project Summary'!$C$10, "")</f>
        <v/>
      </c>
      <c r="J415" s="68"/>
      <c r="K415" s="69"/>
      <c r="L415" s="102"/>
      <c r="M415" s="102"/>
      <c r="N415" s="68"/>
      <c r="O415" s="68"/>
      <c r="P415" s="106"/>
      <c r="Q415" s="107"/>
      <c r="R415" s="107"/>
      <c r="S415" s="107"/>
      <c r="T415" s="107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</row>
    <row r="416" spans="2:36" x14ac:dyDescent="0.25">
      <c r="B416" s="68"/>
      <c r="C416" s="68"/>
      <c r="D416" s="70"/>
      <c r="E416" s="68"/>
      <c r="F416" s="96"/>
      <c r="G416" s="95" t="str">
        <f t="shared" si="6"/>
        <v/>
      </c>
      <c r="H416" s="91" t="str">
        <f>IF(E416&lt;&gt;"",E416/'Project Summary'!$C$9,"")</f>
        <v/>
      </c>
      <c r="I416" s="97" t="str">
        <f>IF(F416&lt;&gt;"",F416/'Project Summary'!$C$10, "")</f>
        <v/>
      </c>
      <c r="J416" s="68"/>
      <c r="K416" s="69"/>
      <c r="L416" s="102"/>
      <c r="M416" s="102"/>
      <c r="N416" s="68"/>
      <c r="O416" s="68"/>
      <c r="P416" s="106"/>
      <c r="Q416" s="107"/>
      <c r="R416" s="107"/>
      <c r="S416" s="107"/>
      <c r="T416" s="107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</row>
    <row r="417" spans="2:36" x14ac:dyDescent="0.25">
      <c r="B417" s="68"/>
      <c r="C417" s="68"/>
      <c r="D417" s="70"/>
      <c r="E417" s="68"/>
      <c r="F417" s="96"/>
      <c r="G417" s="95" t="str">
        <f t="shared" si="6"/>
        <v/>
      </c>
      <c r="H417" s="91" t="str">
        <f>IF(E417&lt;&gt;"",E417/'Project Summary'!$C$9,"")</f>
        <v/>
      </c>
      <c r="I417" s="97" t="str">
        <f>IF(F417&lt;&gt;"",F417/'Project Summary'!$C$10, "")</f>
        <v/>
      </c>
      <c r="J417" s="68"/>
      <c r="K417" s="69"/>
      <c r="L417" s="102"/>
      <c r="M417" s="102"/>
      <c r="N417" s="68"/>
      <c r="O417" s="68"/>
      <c r="P417" s="106"/>
      <c r="Q417" s="107"/>
      <c r="R417" s="107"/>
      <c r="S417" s="107"/>
      <c r="T417" s="107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</row>
    <row r="418" spans="2:36" x14ac:dyDescent="0.25">
      <c r="B418" s="68"/>
      <c r="C418" s="68"/>
      <c r="D418" s="70"/>
      <c r="E418" s="68"/>
      <c r="F418" s="96"/>
      <c r="G418" s="95" t="str">
        <f t="shared" si="6"/>
        <v/>
      </c>
      <c r="H418" s="91" t="str">
        <f>IF(E418&lt;&gt;"",E418/'Project Summary'!$C$9,"")</f>
        <v/>
      </c>
      <c r="I418" s="97" t="str">
        <f>IF(F418&lt;&gt;"",F418/'Project Summary'!$C$10, "")</f>
        <v/>
      </c>
      <c r="J418" s="68"/>
      <c r="K418" s="69"/>
      <c r="L418" s="102"/>
      <c r="M418" s="102"/>
      <c r="N418" s="68"/>
      <c r="O418" s="68"/>
      <c r="P418" s="106"/>
      <c r="Q418" s="107"/>
      <c r="R418" s="107"/>
      <c r="S418" s="107"/>
      <c r="T418" s="107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</row>
    <row r="419" spans="2:36" x14ac:dyDescent="0.25">
      <c r="B419" s="68"/>
      <c r="C419" s="68"/>
      <c r="D419" s="70"/>
      <c r="E419" s="68"/>
      <c r="F419" s="96"/>
      <c r="G419" s="95" t="str">
        <f t="shared" si="6"/>
        <v/>
      </c>
      <c r="H419" s="91" t="str">
        <f>IF(E419&lt;&gt;"",E419/'Project Summary'!$C$9,"")</f>
        <v/>
      </c>
      <c r="I419" s="97" t="str">
        <f>IF(F419&lt;&gt;"",F419/'Project Summary'!$C$10, "")</f>
        <v/>
      </c>
      <c r="J419" s="68"/>
      <c r="K419" s="69"/>
      <c r="L419" s="102"/>
      <c r="M419" s="102"/>
      <c r="N419" s="68"/>
      <c r="O419" s="68"/>
      <c r="P419" s="106"/>
      <c r="Q419" s="107"/>
      <c r="R419" s="107"/>
      <c r="S419" s="107"/>
      <c r="T419" s="107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</row>
    <row r="420" spans="2:36" x14ac:dyDescent="0.25">
      <c r="B420" s="68"/>
      <c r="C420" s="68"/>
      <c r="D420" s="70"/>
      <c r="E420" s="68"/>
      <c r="F420" s="96"/>
      <c r="G420" s="95" t="str">
        <f t="shared" si="6"/>
        <v/>
      </c>
      <c r="H420" s="91" t="str">
        <f>IF(E420&lt;&gt;"",E420/'Project Summary'!$C$9,"")</f>
        <v/>
      </c>
      <c r="I420" s="97" t="str">
        <f>IF(F420&lt;&gt;"",F420/'Project Summary'!$C$10, "")</f>
        <v/>
      </c>
      <c r="J420" s="68"/>
      <c r="K420" s="69"/>
      <c r="L420" s="102"/>
      <c r="M420" s="102"/>
      <c r="N420" s="68"/>
      <c r="O420" s="68"/>
      <c r="P420" s="106"/>
      <c r="Q420" s="107"/>
      <c r="R420" s="107"/>
      <c r="S420" s="107"/>
      <c r="T420" s="107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</row>
    <row r="421" spans="2:36" x14ac:dyDescent="0.25">
      <c r="B421" s="68"/>
      <c r="C421" s="68"/>
      <c r="D421" s="70"/>
      <c r="E421" s="68"/>
      <c r="F421" s="96"/>
      <c r="G421" s="95" t="str">
        <f t="shared" si="6"/>
        <v/>
      </c>
      <c r="H421" s="91" t="str">
        <f>IF(E421&lt;&gt;"",E421/'Project Summary'!$C$9,"")</f>
        <v/>
      </c>
      <c r="I421" s="97" t="str">
        <f>IF(F421&lt;&gt;"",F421/'Project Summary'!$C$10, "")</f>
        <v/>
      </c>
      <c r="J421" s="68"/>
      <c r="K421" s="69"/>
      <c r="L421" s="102"/>
      <c r="M421" s="102"/>
      <c r="N421" s="68"/>
      <c r="O421" s="68"/>
      <c r="P421" s="106"/>
      <c r="Q421" s="107"/>
      <c r="R421" s="107"/>
      <c r="S421" s="107"/>
      <c r="T421" s="107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</row>
    <row r="422" spans="2:36" x14ac:dyDescent="0.25">
      <c r="B422" s="68"/>
      <c r="C422" s="68"/>
      <c r="D422" s="70"/>
      <c r="E422" s="68"/>
      <c r="F422" s="96"/>
      <c r="G422" s="95" t="str">
        <f t="shared" si="6"/>
        <v/>
      </c>
      <c r="H422" s="91" t="str">
        <f>IF(E422&lt;&gt;"",E422/'Project Summary'!$C$9,"")</f>
        <v/>
      </c>
      <c r="I422" s="97" t="str">
        <f>IF(F422&lt;&gt;"",F422/'Project Summary'!$C$10, "")</f>
        <v/>
      </c>
      <c r="J422" s="68"/>
      <c r="K422" s="69"/>
      <c r="L422" s="102"/>
      <c r="M422" s="102"/>
      <c r="N422" s="68"/>
      <c r="O422" s="68"/>
      <c r="P422" s="106"/>
      <c r="Q422" s="107"/>
      <c r="R422" s="107"/>
      <c r="S422" s="107"/>
      <c r="T422" s="107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</row>
    <row r="423" spans="2:36" x14ac:dyDescent="0.25">
      <c r="B423" s="68"/>
      <c r="C423" s="68"/>
      <c r="D423" s="70"/>
      <c r="E423" s="68"/>
      <c r="F423" s="96"/>
      <c r="G423" s="95" t="str">
        <f t="shared" si="6"/>
        <v/>
      </c>
      <c r="H423" s="91" t="str">
        <f>IF(E423&lt;&gt;"",E423/'Project Summary'!$C$9,"")</f>
        <v/>
      </c>
      <c r="I423" s="97" t="str">
        <f>IF(F423&lt;&gt;"",F423/'Project Summary'!$C$10, "")</f>
        <v/>
      </c>
      <c r="J423" s="68"/>
      <c r="K423" s="69"/>
      <c r="L423" s="102"/>
      <c r="M423" s="102"/>
      <c r="N423" s="68"/>
      <c r="O423" s="68"/>
      <c r="P423" s="106"/>
      <c r="Q423" s="107"/>
      <c r="R423" s="107"/>
      <c r="S423" s="107"/>
      <c r="T423" s="107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</row>
    <row r="424" spans="2:36" x14ac:dyDescent="0.25">
      <c r="B424" s="68"/>
      <c r="C424" s="68"/>
      <c r="D424" s="70"/>
      <c r="E424" s="68"/>
      <c r="F424" s="96"/>
      <c r="G424" s="95" t="str">
        <f t="shared" si="6"/>
        <v/>
      </c>
      <c r="H424" s="91" t="str">
        <f>IF(E424&lt;&gt;"",E424/'Project Summary'!$C$9,"")</f>
        <v/>
      </c>
      <c r="I424" s="97" t="str">
        <f>IF(F424&lt;&gt;"",F424/'Project Summary'!$C$10, "")</f>
        <v/>
      </c>
      <c r="J424" s="68"/>
      <c r="K424" s="69"/>
      <c r="L424" s="102"/>
      <c r="M424" s="102"/>
      <c r="N424" s="68"/>
      <c r="O424" s="68"/>
      <c r="P424" s="106"/>
      <c r="Q424" s="107"/>
      <c r="R424" s="107"/>
      <c r="S424" s="107"/>
      <c r="T424" s="107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</row>
    <row r="425" spans="2:36" x14ac:dyDescent="0.25">
      <c r="B425" s="68"/>
      <c r="C425" s="68"/>
      <c r="D425" s="70"/>
      <c r="E425" s="68"/>
      <c r="F425" s="96"/>
      <c r="G425" s="95" t="str">
        <f t="shared" si="6"/>
        <v/>
      </c>
      <c r="H425" s="91" t="str">
        <f>IF(E425&lt;&gt;"",E425/'Project Summary'!$C$9,"")</f>
        <v/>
      </c>
      <c r="I425" s="97" t="str">
        <f>IF(F425&lt;&gt;"",F425/'Project Summary'!$C$10, "")</f>
        <v/>
      </c>
      <c r="J425" s="68"/>
      <c r="K425" s="69"/>
      <c r="L425" s="102"/>
      <c r="M425" s="102"/>
      <c r="N425" s="68"/>
      <c r="O425" s="68"/>
      <c r="P425" s="106"/>
      <c r="Q425" s="107"/>
      <c r="R425" s="107"/>
      <c r="S425" s="107"/>
      <c r="T425" s="107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</row>
    <row r="426" spans="2:36" x14ac:dyDescent="0.25">
      <c r="B426" s="68"/>
      <c r="C426" s="68"/>
      <c r="D426" s="70"/>
      <c r="E426" s="68"/>
      <c r="F426" s="96"/>
      <c r="G426" s="95" t="str">
        <f t="shared" si="6"/>
        <v/>
      </c>
      <c r="H426" s="91" t="str">
        <f>IF(E426&lt;&gt;"",E426/'Project Summary'!$C$9,"")</f>
        <v/>
      </c>
      <c r="I426" s="97" t="str">
        <f>IF(F426&lt;&gt;"",F426/'Project Summary'!$C$10, "")</f>
        <v/>
      </c>
      <c r="J426" s="68"/>
      <c r="K426" s="69"/>
      <c r="L426" s="102"/>
      <c r="M426" s="102"/>
      <c r="N426" s="68"/>
      <c r="O426" s="68"/>
      <c r="P426" s="106"/>
      <c r="Q426" s="107"/>
      <c r="R426" s="107"/>
      <c r="S426" s="107"/>
      <c r="T426" s="107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</row>
    <row r="427" spans="2:36" x14ac:dyDescent="0.25">
      <c r="B427" s="68"/>
      <c r="C427" s="68"/>
      <c r="D427" s="70"/>
      <c r="E427" s="68"/>
      <c r="F427" s="96"/>
      <c r="G427" s="95" t="str">
        <f t="shared" si="6"/>
        <v/>
      </c>
      <c r="H427" s="91" t="str">
        <f>IF(E427&lt;&gt;"",E427/'Project Summary'!$C$9,"")</f>
        <v/>
      </c>
      <c r="I427" s="97" t="str">
        <f>IF(F427&lt;&gt;"",F427/'Project Summary'!$C$10, "")</f>
        <v/>
      </c>
      <c r="J427" s="68"/>
      <c r="K427" s="69"/>
      <c r="L427" s="102"/>
      <c r="M427" s="102"/>
      <c r="N427" s="68"/>
      <c r="O427" s="68"/>
      <c r="P427" s="106"/>
      <c r="Q427" s="107"/>
      <c r="R427" s="107"/>
      <c r="S427" s="107"/>
      <c r="T427" s="107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</row>
    <row r="428" spans="2:36" x14ac:dyDescent="0.25">
      <c r="B428" s="68"/>
      <c r="C428" s="68"/>
      <c r="D428" s="70"/>
      <c r="E428" s="68"/>
      <c r="F428" s="96"/>
      <c r="G428" s="95" t="str">
        <f t="shared" si="6"/>
        <v/>
      </c>
      <c r="H428" s="91" t="str">
        <f>IF(E428&lt;&gt;"",E428/'Project Summary'!$C$9,"")</f>
        <v/>
      </c>
      <c r="I428" s="97" t="str">
        <f>IF(F428&lt;&gt;"",F428/'Project Summary'!$C$10, "")</f>
        <v/>
      </c>
      <c r="J428" s="68"/>
      <c r="K428" s="69"/>
      <c r="L428" s="102"/>
      <c r="M428" s="102"/>
      <c r="N428" s="68"/>
      <c r="O428" s="68"/>
      <c r="P428" s="106"/>
      <c r="Q428" s="107"/>
      <c r="R428" s="107"/>
      <c r="S428" s="107"/>
      <c r="T428" s="107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</row>
    <row r="429" spans="2:36" x14ac:dyDescent="0.25">
      <c r="B429" s="68"/>
      <c r="C429" s="68"/>
      <c r="D429" s="70"/>
      <c r="E429" s="68"/>
      <c r="F429" s="96"/>
      <c r="G429" s="95" t="str">
        <f t="shared" si="6"/>
        <v/>
      </c>
      <c r="H429" s="91" t="str">
        <f>IF(E429&lt;&gt;"",E429/'Project Summary'!$C$9,"")</f>
        <v/>
      </c>
      <c r="I429" s="97" t="str">
        <f>IF(F429&lt;&gt;"",F429/'Project Summary'!$C$10, "")</f>
        <v/>
      </c>
      <c r="J429" s="68"/>
      <c r="K429" s="69"/>
      <c r="L429" s="102"/>
      <c r="M429" s="102"/>
      <c r="N429" s="68"/>
      <c r="O429" s="68"/>
      <c r="P429" s="106"/>
      <c r="Q429" s="107"/>
      <c r="R429" s="107"/>
      <c r="S429" s="107"/>
      <c r="T429" s="107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</row>
    <row r="430" spans="2:36" x14ac:dyDescent="0.25">
      <c r="B430" s="68"/>
      <c r="C430" s="68"/>
      <c r="D430" s="70"/>
      <c r="E430" s="68"/>
      <c r="F430" s="96"/>
      <c r="G430" s="95" t="str">
        <f t="shared" si="6"/>
        <v/>
      </c>
      <c r="H430" s="91" t="str">
        <f>IF(E430&lt;&gt;"",E430/'Project Summary'!$C$9,"")</f>
        <v/>
      </c>
      <c r="I430" s="97" t="str">
        <f>IF(F430&lt;&gt;"",F430/'Project Summary'!$C$10, "")</f>
        <v/>
      </c>
      <c r="J430" s="68"/>
      <c r="K430" s="69"/>
      <c r="L430" s="102"/>
      <c r="M430" s="102"/>
      <c r="N430" s="68"/>
      <c r="O430" s="68"/>
      <c r="P430" s="106"/>
      <c r="Q430" s="107"/>
      <c r="R430" s="107"/>
      <c r="S430" s="107"/>
      <c r="T430" s="107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</row>
    <row r="431" spans="2:36" x14ac:dyDescent="0.25">
      <c r="B431" s="68"/>
      <c r="C431" s="68"/>
      <c r="D431" s="70"/>
      <c r="E431" s="68"/>
      <c r="F431" s="96"/>
      <c r="G431" s="95" t="str">
        <f t="shared" si="6"/>
        <v/>
      </c>
      <c r="H431" s="91" t="str">
        <f>IF(E431&lt;&gt;"",E431/'Project Summary'!$C$9,"")</f>
        <v/>
      </c>
      <c r="I431" s="97" t="str">
        <f>IF(F431&lt;&gt;"",F431/'Project Summary'!$C$10, "")</f>
        <v/>
      </c>
      <c r="J431" s="68"/>
      <c r="K431" s="69"/>
      <c r="L431" s="102"/>
      <c r="M431" s="102"/>
      <c r="N431" s="68"/>
      <c r="O431" s="68"/>
      <c r="P431" s="106"/>
      <c r="Q431" s="107"/>
      <c r="R431" s="107"/>
      <c r="S431" s="107"/>
      <c r="T431" s="107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</row>
    <row r="432" spans="2:36" x14ac:dyDescent="0.25">
      <c r="B432" s="68"/>
      <c r="C432" s="68"/>
      <c r="D432" s="70"/>
      <c r="E432" s="68"/>
      <c r="F432" s="68"/>
      <c r="G432" s="95" t="str">
        <f t="shared" si="6"/>
        <v/>
      </c>
      <c r="H432" s="91" t="str">
        <f>IF(E432&lt;&gt;"",E432/'Project Summary'!$C$9,"")</f>
        <v/>
      </c>
      <c r="I432" s="97" t="str">
        <f>IF(F432&lt;&gt;"",F432/'Project Summary'!$C$10, "")</f>
        <v/>
      </c>
      <c r="J432" s="68"/>
      <c r="K432" s="69"/>
      <c r="L432" s="102"/>
      <c r="M432" s="102"/>
      <c r="N432" s="68"/>
      <c r="O432" s="68"/>
      <c r="P432" s="106"/>
      <c r="Q432" s="107"/>
      <c r="R432" s="107"/>
      <c r="S432" s="107"/>
      <c r="T432" s="107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</row>
    <row r="433" spans="2:36" x14ac:dyDescent="0.25">
      <c r="B433" s="68"/>
      <c r="C433" s="68"/>
      <c r="D433" s="70"/>
      <c r="E433" s="68"/>
      <c r="F433" s="68"/>
      <c r="G433" s="95" t="str">
        <f t="shared" si="6"/>
        <v/>
      </c>
      <c r="H433" s="91" t="str">
        <f>IF(E433&lt;&gt;"",E433/'Project Summary'!$C$9,"")</f>
        <v/>
      </c>
      <c r="I433" s="97" t="str">
        <f>IF(F433&lt;&gt;"",F433/'Project Summary'!$C$10, "")</f>
        <v/>
      </c>
      <c r="J433" s="68"/>
      <c r="K433" s="69"/>
      <c r="L433" s="102"/>
      <c r="M433" s="102"/>
      <c r="N433" s="68"/>
      <c r="O433" s="68"/>
      <c r="P433" s="106"/>
      <c r="Q433" s="107"/>
      <c r="R433" s="107"/>
      <c r="S433" s="107"/>
      <c r="T433" s="107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</row>
    <row r="434" spans="2:36" x14ac:dyDescent="0.25">
      <c r="B434" s="68"/>
      <c r="C434" s="68"/>
      <c r="D434" s="70"/>
      <c r="E434" s="68"/>
      <c r="F434" s="68"/>
      <c r="G434" s="95" t="str">
        <f t="shared" si="6"/>
        <v/>
      </c>
      <c r="H434" s="91" t="str">
        <f>IF(E434&lt;&gt;"",E434/'Project Summary'!$C$9,"")</f>
        <v/>
      </c>
      <c r="I434" s="97" t="str">
        <f>IF(F434&lt;&gt;"",F434/'Project Summary'!$C$10, "")</f>
        <v/>
      </c>
      <c r="J434" s="68"/>
      <c r="K434" s="69"/>
      <c r="L434" s="102"/>
      <c r="M434" s="102"/>
      <c r="N434" s="68"/>
      <c r="O434" s="68"/>
      <c r="P434" s="106"/>
      <c r="Q434" s="107"/>
      <c r="R434" s="107"/>
      <c r="S434" s="107"/>
      <c r="T434" s="107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</row>
    <row r="435" spans="2:36" x14ac:dyDescent="0.25">
      <c r="B435" s="68"/>
      <c r="C435" s="68"/>
      <c r="D435" s="70"/>
      <c r="E435" s="68"/>
      <c r="F435" s="68"/>
      <c r="G435" s="95" t="str">
        <f t="shared" si="6"/>
        <v/>
      </c>
      <c r="H435" s="91" t="str">
        <f>IF(E435&lt;&gt;"",E435/'Project Summary'!$C$9,"")</f>
        <v/>
      </c>
      <c r="I435" s="97" t="str">
        <f>IF(F435&lt;&gt;"",F435/'Project Summary'!$C$10, "")</f>
        <v/>
      </c>
      <c r="J435" s="68"/>
      <c r="K435" s="69"/>
      <c r="L435" s="102"/>
      <c r="M435" s="102"/>
      <c r="N435" s="68"/>
      <c r="O435" s="68"/>
      <c r="P435" s="106"/>
      <c r="Q435" s="107"/>
      <c r="R435" s="107"/>
      <c r="S435" s="107"/>
      <c r="T435" s="107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</row>
    <row r="436" spans="2:36" x14ac:dyDescent="0.25">
      <c r="B436" s="68"/>
      <c r="C436" s="68"/>
      <c r="D436" s="70"/>
      <c r="E436" s="68"/>
      <c r="F436" s="68"/>
      <c r="G436" s="95" t="str">
        <f t="shared" si="6"/>
        <v/>
      </c>
      <c r="H436" s="91" t="str">
        <f>IF(E436&lt;&gt;"",E436/'Project Summary'!$C$9,"")</f>
        <v/>
      </c>
      <c r="I436" s="97" t="str">
        <f>IF(F436&lt;&gt;"",F436/'Project Summary'!$C$10, "")</f>
        <v/>
      </c>
      <c r="J436" s="68"/>
      <c r="K436" s="69"/>
      <c r="L436" s="102"/>
      <c r="M436" s="102"/>
      <c r="N436" s="68"/>
      <c r="O436" s="68"/>
      <c r="P436" s="106"/>
      <c r="Q436" s="107"/>
      <c r="R436" s="107"/>
      <c r="S436" s="107"/>
      <c r="T436" s="107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</row>
    <row r="437" spans="2:36" x14ac:dyDescent="0.25">
      <c r="B437" s="68"/>
      <c r="C437" s="68"/>
      <c r="D437" s="70"/>
      <c r="E437" s="68"/>
      <c r="F437" s="68"/>
      <c r="G437" s="95" t="str">
        <f t="shared" si="6"/>
        <v/>
      </c>
      <c r="H437" s="91" t="str">
        <f>IF(E437&lt;&gt;"",E437/'Project Summary'!$C$9,"")</f>
        <v/>
      </c>
      <c r="I437" s="97" t="str">
        <f>IF(F437&lt;&gt;"",F437/'Project Summary'!$C$10, "")</f>
        <v/>
      </c>
      <c r="J437" s="68"/>
      <c r="K437" s="69"/>
      <c r="L437" s="102"/>
      <c r="M437" s="102"/>
      <c r="N437" s="68"/>
      <c r="O437" s="68"/>
      <c r="P437" s="106"/>
      <c r="Q437" s="107"/>
      <c r="R437" s="107"/>
      <c r="S437" s="107"/>
      <c r="T437" s="107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</row>
    <row r="438" spans="2:36" x14ac:dyDescent="0.25">
      <c r="B438" s="68"/>
      <c r="C438" s="68"/>
      <c r="D438" s="70"/>
      <c r="E438" s="68"/>
      <c r="F438" s="68"/>
      <c r="G438" s="95" t="str">
        <f t="shared" si="6"/>
        <v/>
      </c>
      <c r="H438" s="91" t="str">
        <f>IF(E438&lt;&gt;"",E438/'Project Summary'!$C$9,"")</f>
        <v/>
      </c>
      <c r="I438" s="97" t="str">
        <f>IF(F438&lt;&gt;"",F438/'Project Summary'!$C$10, "")</f>
        <v/>
      </c>
      <c r="J438" s="68"/>
      <c r="K438" s="69"/>
      <c r="L438" s="102"/>
      <c r="M438" s="102"/>
      <c r="N438" s="68"/>
      <c r="O438" s="68"/>
      <c r="P438" s="106"/>
      <c r="Q438" s="107"/>
      <c r="R438" s="107"/>
      <c r="S438" s="107"/>
      <c r="T438" s="107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</row>
    <row r="439" spans="2:36" x14ac:dyDescent="0.25">
      <c r="B439" s="68"/>
      <c r="C439" s="68"/>
      <c r="D439" s="70"/>
      <c r="E439" s="68"/>
      <c r="F439" s="68"/>
      <c r="G439" s="95" t="str">
        <f t="shared" si="6"/>
        <v/>
      </c>
      <c r="H439" s="91" t="str">
        <f>IF(E439&lt;&gt;"",E439/'Project Summary'!$C$9,"")</f>
        <v/>
      </c>
      <c r="I439" s="97" t="str">
        <f>IF(F439&lt;&gt;"",F439/'Project Summary'!$C$10, "")</f>
        <v/>
      </c>
      <c r="J439" s="68"/>
      <c r="K439" s="69"/>
      <c r="L439" s="102"/>
      <c r="M439" s="102"/>
      <c r="N439" s="68"/>
      <c r="O439" s="68"/>
      <c r="P439" s="106"/>
      <c r="Q439" s="107"/>
      <c r="R439" s="107"/>
      <c r="S439" s="107"/>
      <c r="T439" s="107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</row>
    <row r="440" spans="2:36" x14ac:dyDescent="0.25">
      <c r="B440" s="68"/>
      <c r="C440" s="68"/>
      <c r="D440" s="70"/>
      <c r="E440" s="68"/>
      <c r="F440" s="68"/>
      <c r="G440" s="95" t="str">
        <f t="shared" si="6"/>
        <v/>
      </c>
      <c r="H440" s="91" t="str">
        <f>IF(E440&lt;&gt;"",E440/'Project Summary'!$C$9,"")</f>
        <v/>
      </c>
      <c r="I440" s="97" t="str">
        <f>IF(F440&lt;&gt;"",F440/'Project Summary'!$C$10, "")</f>
        <v/>
      </c>
      <c r="J440" s="68"/>
      <c r="K440" s="69"/>
      <c r="L440" s="102"/>
      <c r="M440" s="102"/>
      <c r="N440" s="68"/>
      <c r="O440" s="68"/>
      <c r="P440" s="106"/>
      <c r="Q440" s="107"/>
      <c r="R440" s="107"/>
      <c r="S440" s="107"/>
      <c r="T440" s="107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</row>
    <row r="441" spans="2:36" x14ac:dyDescent="0.25">
      <c r="B441" s="68"/>
      <c r="C441" s="68"/>
      <c r="D441" s="70"/>
      <c r="E441" s="68"/>
      <c r="F441" s="68"/>
      <c r="G441" s="95" t="str">
        <f t="shared" si="6"/>
        <v/>
      </c>
      <c r="H441" s="91" t="str">
        <f>IF(E441&lt;&gt;"",E441/'Project Summary'!$C$9,"")</f>
        <v/>
      </c>
      <c r="I441" s="97" t="str">
        <f>IF(F441&lt;&gt;"",F441/'Project Summary'!$C$10, "")</f>
        <v/>
      </c>
      <c r="J441" s="68"/>
      <c r="K441" s="69"/>
      <c r="L441" s="102"/>
      <c r="M441" s="102"/>
      <c r="N441" s="68"/>
      <c r="O441" s="68"/>
      <c r="P441" s="106"/>
      <c r="Q441" s="107"/>
      <c r="R441" s="107"/>
      <c r="S441" s="107"/>
      <c r="T441" s="107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</row>
    <row r="442" spans="2:36" x14ac:dyDescent="0.25">
      <c r="B442" s="68"/>
      <c r="C442" s="68"/>
      <c r="D442" s="70"/>
      <c r="E442" s="68"/>
      <c r="F442" s="68"/>
      <c r="G442" s="95" t="str">
        <f t="shared" si="6"/>
        <v/>
      </c>
      <c r="H442" s="91" t="str">
        <f>IF(E442&lt;&gt;"",E442/'Project Summary'!$C$9,"")</f>
        <v/>
      </c>
      <c r="I442" s="97" t="str">
        <f>IF(F442&lt;&gt;"",F442/'Project Summary'!$C$10, "")</f>
        <v/>
      </c>
      <c r="J442" s="68"/>
      <c r="K442" s="69"/>
      <c r="L442" s="102"/>
      <c r="M442" s="102"/>
      <c r="N442" s="68"/>
      <c r="O442" s="68"/>
      <c r="P442" s="106"/>
      <c r="Q442" s="107"/>
      <c r="R442" s="107"/>
      <c r="S442" s="107"/>
      <c r="T442" s="107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</row>
    <row r="443" spans="2:36" x14ac:dyDescent="0.25">
      <c r="B443" s="68"/>
      <c r="C443" s="68"/>
      <c r="D443" s="70"/>
      <c r="E443" s="68"/>
      <c r="F443" s="68"/>
      <c r="G443" s="95" t="str">
        <f t="shared" si="6"/>
        <v/>
      </c>
      <c r="H443" s="91" t="str">
        <f>IF(E443&lt;&gt;"",E443/'Project Summary'!$C$9,"")</f>
        <v/>
      </c>
      <c r="I443" s="97" t="str">
        <f>IF(F443&lt;&gt;"",F443/'Project Summary'!$C$10, "")</f>
        <v/>
      </c>
      <c r="J443" s="68"/>
      <c r="K443" s="69"/>
      <c r="L443" s="102"/>
      <c r="M443" s="102"/>
      <c r="N443" s="68"/>
      <c r="O443" s="68"/>
      <c r="P443" s="106"/>
      <c r="Q443" s="107"/>
      <c r="R443" s="107"/>
      <c r="S443" s="107"/>
      <c r="T443" s="107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</row>
    <row r="444" spans="2:36" x14ac:dyDescent="0.25">
      <c r="B444" s="68"/>
      <c r="C444" s="68"/>
      <c r="D444" s="70"/>
      <c r="E444" s="68"/>
      <c r="F444" s="68"/>
      <c r="G444" s="95" t="str">
        <f t="shared" si="6"/>
        <v/>
      </c>
      <c r="H444" s="91" t="str">
        <f>IF(E444&lt;&gt;"",E444/'Project Summary'!$C$9,"")</f>
        <v/>
      </c>
      <c r="I444" s="97" t="str">
        <f>IF(F444&lt;&gt;"",F444/'Project Summary'!$C$10, "")</f>
        <v/>
      </c>
      <c r="J444" s="68"/>
      <c r="K444" s="69"/>
      <c r="L444" s="102"/>
      <c r="M444" s="102"/>
      <c r="N444" s="68"/>
      <c r="O444" s="68"/>
      <c r="P444" s="106"/>
      <c r="Q444" s="107"/>
      <c r="R444" s="107"/>
      <c r="S444" s="107"/>
      <c r="T444" s="107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</row>
    <row r="445" spans="2:36" x14ac:dyDescent="0.25">
      <c r="B445" s="68"/>
      <c r="C445" s="68"/>
      <c r="D445" s="70"/>
      <c r="E445" s="68"/>
      <c r="F445" s="68"/>
      <c r="G445" s="95" t="str">
        <f t="shared" si="6"/>
        <v/>
      </c>
      <c r="H445" s="91" t="str">
        <f>IF(E445&lt;&gt;"",E445/'Project Summary'!$C$9,"")</f>
        <v/>
      </c>
      <c r="I445" s="97" t="str">
        <f>IF(F445&lt;&gt;"",F445/'Project Summary'!$C$10, "")</f>
        <v/>
      </c>
      <c r="J445" s="68"/>
      <c r="K445" s="69"/>
      <c r="L445" s="102"/>
      <c r="M445" s="102"/>
      <c r="N445" s="68"/>
      <c r="O445" s="68"/>
      <c r="P445" s="106"/>
      <c r="Q445" s="107"/>
      <c r="R445" s="107"/>
      <c r="S445" s="107"/>
      <c r="T445" s="107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</row>
    <row r="446" spans="2:36" x14ac:dyDescent="0.25">
      <c r="B446" s="68"/>
      <c r="C446" s="68"/>
      <c r="D446" s="70"/>
      <c r="E446" s="68"/>
      <c r="F446" s="68"/>
      <c r="G446" s="95" t="str">
        <f t="shared" si="6"/>
        <v/>
      </c>
      <c r="H446" s="91" t="str">
        <f>IF(E446&lt;&gt;"",E446/'Project Summary'!$C$9,"")</f>
        <v/>
      </c>
      <c r="I446" s="97" t="str">
        <f>IF(F446&lt;&gt;"",F446/'Project Summary'!$C$10, "")</f>
        <v/>
      </c>
      <c r="J446" s="68"/>
      <c r="K446" s="69"/>
      <c r="L446" s="102"/>
      <c r="M446" s="102"/>
      <c r="N446" s="68"/>
      <c r="O446" s="68"/>
      <c r="P446" s="106"/>
      <c r="Q446" s="107"/>
      <c r="R446" s="107"/>
      <c r="S446" s="107"/>
      <c r="T446" s="107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</row>
    <row r="447" spans="2:36" x14ac:dyDescent="0.25">
      <c r="B447" s="68"/>
      <c r="C447" s="68"/>
      <c r="D447" s="70"/>
      <c r="E447" s="68"/>
      <c r="F447" s="68"/>
      <c r="G447" s="95" t="str">
        <f t="shared" si="6"/>
        <v/>
      </c>
      <c r="H447" s="91" t="str">
        <f>IF(E447&lt;&gt;"",E447/'Project Summary'!$C$9,"")</f>
        <v/>
      </c>
      <c r="I447" s="97" t="str">
        <f>IF(F447&lt;&gt;"",F447/'Project Summary'!$C$10, "")</f>
        <v/>
      </c>
      <c r="J447" s="68"/>
      <c r="K447" s="69"/>
      <c r="L447" s="102"/>
      <c r="M447" s="102"/>
      <c r="N447" s="68"/>
      <c r="O447" s="68"/>
      <c r="P447" s="106"/>
      <c r="Q447" s="107"/>
      <c r="R447" s="107"/>
      <c r="S447" s="107"/>
      <c r="T447" s="107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</row>
    <row r="448" spans="2:36" x14ac:dyDescent="0.25">
      <c r="B448" s="68"/>
      <c r="C448" s="68"/>
      <c r="D448" s="70"/>
      <c r="E448" s="68"/>
      <c r="F448" s="68"/>
      <c r="G448" s="95" t="str">
        <f t="shared" si="6"/>
        <v/>
      </c>
      <c r="H448" s="91" t="str">
        <f>IF(E448&lt;&gt;"",E448/'Project Summary'!$C$9,"")</f>
        <v/>
      </c>
      <c r="I448" s="97" t="str">
        <f>IF(F448&lt;&gt;"",F448/'Project Summary'!$C$10, "")</f>
        <v/>
      </c>
      <c r="J448" s="68"/>
      <c r="K448" s="69"/>
      <c r="L448" s="102"/>
      <c r="M448" s="102"/>
      <c r="N448" s="68"/>
      <c r="O448" s="68"/>
      <c r="P448" s="106"/>
      <c r="Q448" s="107"/>
      <c r="R448" s="107"/>
      <c r="S448" s="107"/>
      <c r="T448" s="107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</row>
    <row r="449" spans="2:36" x14ac:dyDescent="0.25">
      <c r="B449" s="68"/>
      <c r="C449" s="68"/>
      <c r="D449" s="70"/>
      <c r="E449" s="68"/>
      <c r="F449" s="68"/>
      <c r="G449" s="95" t="str">
        <f t="shared" si="6"/>
        <v/>
      </c>
      <c r="H449" s="91" t="str">
        <f>IF(E449&lt;&gt;"",E449/'Project Summary'!$C$9,"")</f>
        <v/>
      </c>
      <c r="I449" s="97" t="str">
        <f>IF(F449&lt;&gt;"",F449/'Project Summary'!$C$10, "")</f>
        <v/>
      </c>
      <c r="J449" s="68"/>
      <c r="K449" s="69"/>
      <c r="L449" s="102"/>
      <c r="M449" s="102"/>
      <c r="N449" s="68"/>
      <c r="O449" s="68"/>
      <c r="P449" s="106"/>
      <c r="Q449" s="107"/>
      <c r="R449" s="107"/>
      <c r="S449" s="107"/>
      <c r="T449" s="107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</row>
    <row r="450" spans="2:36" x14ac:dyDescent="0.25">
      <c r="B450" s="68"/>
      <c r="C450" s="68"/>
      <c r="D450" s="70"/>
      <c r="E450" s="68"/>
      <c r="F450" s="68"/>
      <c r="G450" s="95" t="str">
        <f t="shared" si="6"/>
        <v/>
      </c>
      <c r="H450" s="91" t="str">
        <f>IF(E450&lt;&gt;"",E450/'Project Summary'!$C$9,"")</f>
        <v/>
      </c>
      <c r="I450" s="97" t="str">
        <f>IF(F450&lt;&gt;"",F450/'Project Summary'!$C$10, "")</f>
        <v/>
      </c>
      <c r="J450" s="68"/>
      <c r="K450" s="69"/>
      <c r="L450" s="102"/>
      <c r="M450" s="102"/>
      <c r="N450" s="68"/>
      <c r="O450" s="68"/>
      <c r="P450" s="106"/>
      <c r="Q450" s="107"/>
      <c r="R450" s="107"/>
      <c r="S450" s="107"/>
      <c r="T450" s="107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</row>
    <row r="451" spans="2:36" x14ac:dyDescent="0.25">
      <c r="B451" s="68"/>
      <c r="C451" s="68"/>
      <c r="D451" s="70"/>
      <c r="E451" s="68"/>
      <c r="F451" s="68"/>
      <c r="G451" s="95" t="str">
        <f t="shared" si="6"/>
        <v/>
      </c>
      <c r="H451" s="91" t="str">
        <f>IF(E451&lt;&gt;"",E451/'Project Summary'!$C$9,"")</f>
        <v/>
      </c>
      <c r="I451" s="97" t="str">
        <f>IF(F451&lt;&gt;"",F451/'Project Summary'!$C$10, "")</f>
        <v/>
      </c>
      <c r="J451" s="68"/>
      <c r="K451" s="69"/>
      <c r="L451" s="102"/>
      <c r="M451" s="102"/>
      <c r="N451" s="68"/>
      <c r="O451" s="68"/>
      <c r="P451" s="106"/>
      <c r="Q451" s="107"/>
      <c r="R451" s="107"/>
      <c r="S451" s="107"/>
      <c r="T451" s="107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</row>
    <row r="452" spans="2:36" x14ac:dyDescent="0.25">
      <c r="B452" s="68"/>
      <c r="C452" s="68"/>
      <c r="D452" s="70"/>
      <c r="E452" s="68"/>
      <c r="F452" s="68"/>
      <c r="G452" s="95" t="str">
        <f t="shared" si="6"/>
        <v/>
      </c>
      <c r="H452" s="91" t="str">
        <f>IF(E452&lt;&gt;"",E452/'Project Summary'!$C$9,"")</f>
        <v/>
      </c>
      <c r="I452" s="97" t="str">
        <f>IF(F452&lt;&gt;"",F452/'Project Summary'!$C$10, "")</f>
        <v/>
      </c>
      <c r="J452" s="68"/>
      <c r="K452" s="69"/>
      <c r="L452" s="102"/>
      <c r="M452" s="102"/>
      <c r="N452" s="68"/>
      <c r="O452" s="68"/>
      <c r="P452" s="106"/>
      <c r="Q452" s="107"/>
      <c r="R452" s="107"/>
      <c r="S452" s="107"/>
      <c r="T452" s="107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</row>
    <row r="453" spans="2:36" x14ac:dyDescent="0.25">
      <c r="B453" s="68"/>
      <c r="C453" s="68"/>
      <c r="D453" s="70"/>
      <c r="E453" s="68"/>
      <c r="F453" s="68"/>
      <c r="G453" s="95" t="str">
        <f t="shared" si="6"/>
        <v/>
      </c>
      <c r="H453" s="91" t="str">
        <f>IF(E453&lt;&gt;"",E453/'Project Summary'!$C$9,"")</f>
        <v/>
      </c>
      <c r="I453" s="97" t="str">
        <f>IF(F453&lt;&gt;"",F453/'Project Summary'!$C$10, "")</f>
        <v/>
      </c>
      <c r="J453" s="68"/>
      <c r="K453" s="69"/>
      <c r="L453" s="102"/>
      <c r="M453" s="102"/>
      <c r="N453" s="68"/>
      <c r="O453" s="68"/>
      <c r="P453" s="106"/>
      <c r="Q453" s="107"/>
      <c r="R453" s="107"/>
      <c r="S453" s="107"/>
      <c r="T453" s="107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</row>
    <row r="454" spans="2:36" x14ac:dyDescent="0.25">
      <c r="B454" s="68"/>
      <c r="C454" s="68"/>
      <c r="D454" s="70"/>
      <c r="E454" s="68"/>
      <c r="F454" s="68"/>
      <c r="G454" s="95" t="str">
        <f t="shared" si="6"/>
        <v/>
      </c>
      <c r="H454" s="91" t="str">
        <f>IF(E454&lt;&gt;"",E454/'Project Summary'!$C$9,"")</f>
        <v/>
      </c>
      <c r="I454" s="97" t="str">
        <f>IF(F454&lt;&gt;"",F454/'Project Summary'!$C$10, "")</f>
        <v/>
      </c>
      <c r="J454" s="68"/>
      <c r="K454" s="69"/>
      <c r="L454" s="102"/>
      <c r="M454" s="102"/>
      <c r="N454" s="68"/>
      <c r="O454" s="68"/>
      <c r="P454" s="106"/>
      <c r="Q454" s="107"/>
      <c r="R454" s="107"/>
      <c r="S454" s="107"/>
      <c r="T454" s="107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</row>
    <row r="455" spans="2:36" x14ac:dyDescent="0.25">
      <c r="B455" s="68"/>
      <c r="C455" s="68"/>
      <c r="D455" s="70"/>
      <c r="E455" s="68"/>
      <c r="F455" s="68"/>
      <c r="G455" s="95" t="str">
        <f t="shared" si="6"/>
        <v/>
      </c>
      <c r="H455" s="91" t="str">
        <f>IF(E455&lt;&gt;"",E455/'Project Summary'!$C$9,"")</f>
        <v/>
      </c>
      <c r="I455" s="97" t="str">
        <f>IF(F455&lt;&gt;"",F455/'Project Summary'!$C$10, "")</f>
        <v/>
      </c>
      <c r="J455" s="68"/>
      <c r="K455" s="69"/>
      <c r="L455" s="102"/>
      <c r="M455" s="102"/>
      <c r="N455" s="68"/>
      <c r="O455" s="68"/>
      <c r="P455" s="106"/>
      <c r="Q455" s="107"/>
      <c r="R455" s="107"/>
      <c r="S455" s="107"/>
      <c r="T455" s="107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</row>
    <row r="456" spans="2:36" x14ac:dyDescent="0.25">
      <c r="B456" s="68"/>
      <c r="C456" s="68"/>
      <c r="D456" s="70"/>
      <c r="E456" s="68"/>
      <c r="F456" s="68"/>
      <c r="G456" s="95" t="str">
        <f t="shared" si="6"/>
        <v/>
      </c>
      <c r="H456" s="91" t="str">
        <f>IF(E456&lt;&gt;"",E456/'Project Summary'!$C$9,"")</f>
        <v/>
      </c>
      <c r="I456" s="97" t="str">
        <f>IF(F456&lt;&gt;"",F456/'Project Summary'!$C$10, "")</f>
        <v/>
      </c>
      <c r="J456" s="68"/>
      <c r="K456" s="69"/>
      <c r="L456" s="102"/>
      <c r="M456" s="102"/>
      <c r="N456" s="68"/>
      <c r="O456" s="68"/>
      <c r="P456" s="106"/>
      <c r="Q456" s="107"/>
      <c r="R456" s="107"/>
      <c r="S456" s="107"/>
      <c r="T456" s="107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</row>
    <row r="457" spans="2:36" x14ac:dyDescent="0.25">
      <c r="B457" s="68"/>
      <c r="C457" s="68"/>
      <c r="D457" s="70"/>
      <c r="E457" s="68"/>
      <c r="F457" s="68"/>
      <c r="G457" s="95" t="str">
        <f t="shared" si="6"/>
        <v/>
      </c>
      <c r="H457" s="91" t="str">
        <f>IF(E457&lt;&gt;"",E457/'Project Summary'!$C$9,"")</f>
        <v/>
      </c>
      <c r="I457" s="97" t="str">
        <f>IF(F457&lt;&gt;"",F457/'Project Summary'!$C$10, "")</f>
        <v/>
      </c>
      <c r="J457" s="68"/>
      <c r="K457" s="69"/>
      <c r="L457" s="102"/>
      <c r="M457" s="102"/>
      <c r="N457" s="68"/>
      <c r="O457" s="68"/>
      <c r="P457" s="106"/>
      <c r="Q457" s="107"/>
      <c r="R457" s="107"/>
      <c r="S457" s="107"/>
      <c r="T457" s="107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</row>
    <row r="458" spans="2:36" x14ac:dyDescent="0.25">
      <c r="B458" s="68"/>
      <c r="C458" s="68"/>
      <c r="D458" s="70"/>
      <c r="E458" s="68"/>
      <c r="F458" s="68"/>
      <c r="G458" s="95" t="str">
        <f t="shared" si="6"/>
        <v/>
      </c>
      <c r="H458" s="91" t="str">
        <f>IF(E458&lt;&gt;"",E458/'Project Summary'!$C$9,"")</f>
        <v/>
      </c>
      <c r="I458" s="97" t="str">
        <f>IF(F458&lt;&gt;"",F458/'Project Summary'!$C$10, "")</f>
        <v/>
      </c>
      <c r="J458" s="68"/>
      <c r="K458" s="69"/>
      <c r="L458" s="102"/>
      <c r="M458" s="102"/>
      <c r="N458" s="68"/>
      <c r="O458" s="68"/>
      <c r="P458" s="106"/>
      <c r="Q458" s="107"/>
      <c r="R458" s="107"/>
      <c r="S458" s="107"/>
      <c r="T458" s="107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</row>
    <row r="459" spans="2:36" x14ac:dyDescent="0.25">
      <c r="B459" s="68"/>
      <c r="C459" s="68"/>
      <c r="D459" s="70"/>
      <c r="E459" s="68"/>
      <c r="F459" s="68"/>
      <c r="G459" s="95" t="str">
        <f t="shared" si="6"/>
        <v/>
      </c>
      <c r="H459" s="91" t="str">
        <f>IF(E459&lt;&gt;"",E459/'Project Summary'!$C$9,"")</f>
        <v/>
      </c>
      <c r="I459" s="97" t="str">
        <f>IF(F459&lt;&gt;"",F459/'Project Summary'!$C$10, "")</f>
        <v/>
      </c>
      <c r="J459" s="68"/>
      <c r="K459" s="69"/>
      <c r="L459" s="102"/>
      <c r="M459" s="102"/>
      <c r="N459" s="68"/>
      <c r="O459" s="68"/>
      <c r="P459" s="106"/>
      <c r="Q459" s="107"/>
      <c r="R459" s="107"/>
      <c r="S459" s="107"/>
      <c r="T459" s="107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</row>
    <row r="460" spans="2:36" x14ac:dyDescent="0.25">
      <c r="B460" s="68"/>
      <c r="C460" s="68"/>
      <c r="D460" s="70"/>
      <c r="E460" s="68"/>
      <c r="F460" s="68"/>
      <c r="G460" s="95" t="str">
        <f t="shared" ref="G460:G523" si="7">IF(D460&lt;&gt;"", D460/E460, "")</f>
        <v/>
      </c>
      <c r="H460" s="91" t="str">
        <f>IF(E460&lt;&gt;"",E460/'Project Summary'!$C$9,"")</f>
        <v/>
      </c>
      <c r="I460" s="97" t="str">
        <f>IF(F460&lt;&gt;"",F460/'Project Summary'!$C$10, "")</f>
        <v/>
      </c>
      <c r="J460" s="68"/>
      <c r="K460" s="69"/>
      <c r="L460" s="102"/>
      <c r="M460" s="102"/>
      <c r="N460" s="68"/>
      <c r="O460" s="68"/>
      <c r="P460" s="106"/>
      <c r="Q460" s="107"/>
      <c r="R460" s="107"/>
      <c r="S460" s="107"/>
      <c r="T460" s="107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</row>
    <row r="461" spans="2:36" x14ac:dyDescent="0.25">
      <c r="B461" s="68"/>
      <c r="C461" s="68"/>
      <c r="D461" s="70"/>
      <c r="E461" s="68"/>
      <c r="F461" s="68"/>
      <c r="G461" s="95" t="str">
        <f t="shared" si="7"/>
        <v/>
      </c>
      <c r="H461" s="91" t="str">
        <f>IF(E461&lt;&gt;"",E461/'Project Summary'!$C$9,"")</f>
        <v/>
      </c>
      <c r="I461" s="97" t="str">
        <f>IF(F461&lt;&gt;"",F461/'Project Summary'!$C$10, "")</f>
        <v/>
      </c>
      <c r="J461" s="68"/>
      <c r="K461" s="69"/>
      <c r="L461" s="102"/>
      <c r="M461" s="102"/>
      <c r="N461" s="68"/>
      <c r="O461" s="68"/>
      <c r="P461" s="106"/>
      <c r="Q461" s="107"/>
      <c r="R461" s="107"/>
      <c r="S461" s="107"/>
      <c r="T461" s="107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</row>
    <row r="462" spans="2:36" x14ac:dyDescent="0.25">
      <c r="B462" s="68"/>
      <c r="C462" s="68"/>
      <c r="D462" s="70"/>
      <c r="E462" s="68"/>
      <c r="F462" s="68"/>
      <c r="G462" s="95" t="str">
        <f t="shared" si="7"/>
        <v/>
      </c>
      <c r="H462" s="91" t="str">
        <f>IF(E462&lt;&gt;"",E462/'Project Summary'!$C$9,"")</f>
        <v/>
      </c>
      <c r="I462" s="97" t="str">
        <f>IF(F462&lt;&gt;"",F462/'Project Summary'!$C$10, "")</f>
        <v/>
      </c>
      <c r="J462" s="68"/>
      <c r="K462" s="69"/>
      <c r="L462" s="102"/>
      <c r="M462" s="102"/>
      <c r="N462" s="68"/>
      <c r="O462" s="68"/>
      <c r="P462" s="106"/>
      <c r="Q462" s="107"/>
      <c r="R462" s="107"/>
      <c r="S462" s="107"/>
      <c r="T462" s="107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</row>
    <row r="463" spans="2:36" x14ac:dyDescent="0.25">
      <c r="B463" s="68"/>
      <c r="C463" s="68"/>
      <c r="D463" s="70"/>
      <c r="E463" s="68"/>
      <c r="F463" s="68"/>
      <c r="G463" s="95" t="str">
        <f t="shared" si="7"/>
        <v/>
      </c>
      <c r="H463" s="91" t="str">
        <f>IF(E463&lt;&gt;"",E463/'Project Summary'!$C$9,"")</f>
        <v/>
      </c>
      <c r="I463" s="97" t="str">
        <f>IF(F463&lt;&gt;"",F463/'Project Summary'!$C$10, "")</f>
        <v/>
      </c>
      <c r="J463" s="68"/>
      <c r="K463" s="69"/>
      <c r="L463" s="102"/>
      <c r="M463" s="102"/>
      <c r="N463" s="68"/>
      <c r="O463" s="68"/>
      <c r="P463" s="106"/>
      <c r="Q463" s="107"/>
      <c r="R463" s="107"/>
      <c r="S463" s="107"/>
      <c r="T463" s="107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</row>
    <row r="464" spans="2:36" x14ac:dyDescent="0.25">
      <c r="B464" s="68"/>
      <c r="C464" s="68"/>
      <c r="D464" s="70"/>
      <c r="E464" s="68"/>
      <c r="F464" s="68"/>
      <c r="G464" s="95" t="str">
        <f t="shared" si="7"/>
        <v/>
      </c>
      <c r="H464" s="91" t="str">
        <f>IF(E464&lt;&gt;"",E464/'Project Summary'!$C$9,"")</f>
        <v/>
      </c>
      <c r="I464" s="97" t="str">
        <f>IF(F464&lt;&gt;"",F464/'Project Summary'!$C$10, "")</f>
        <v/>
      </c>
      <c r="J464" s="68"/>
      <c r="K464" s="69"/>
      <c r="L464" s="102"/>
      <c r="M464" s="102"/>
      <c r="N464" s="68"/>
      <c r="O464" s="68"/>
      <c r="P464" s="106"/>
      <c r="Q464" s="107"/>
      <c r="R464" s="107"/>
      <c r="S464" s="107"/>
      <c r="T464" s="107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</row>
    <row r="465" spans="2:36" x14ac:dyDescent="0.25">
      <c r="B465" s="68"/>
      <c r="C465" s="68"/>
      <c r="D465" s="70"/>
      <c r="E465" s="68"/>
      <c r="F465" s="68"/>
      <c r="G465" s="95" t="str">
        <f t="shared" si="7"/>
        <v/>
      </c>
      <c r="H465" s="91" t="str">
        <f>IF(E465&lt;&gt;"",E465/'Project Summary'!$C$9,"")</f>
        <v/>
      </c>
      <c r="I465" s="97" t="str">
        <f>IF(F465&lt;&gt;"",F465/'Project Summary'!$C$10, "")</f>
        <v/>
      </c>
      <c r="J465" s="68"/>
      <c r="K465" s="69"/>
      <c r="L465" s="102"/>
      <c r="M465" s="102"/>
      <c r="N465" s="68"/>
      <c r="O465" s="68"/>
      <c r="P465" s="106"/>
      <c r="Q465" s="107"/>
      <c r="R465" s="107"/>
      <c r="S465" s="107"/>
      <c r="T465" s="107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</row>
    <row r="466" spans="2:36" x14ac:dyDescent="0.25">
      <c r="B466" s="68"/>
      <c r="C466" s="68"/>
      <c r="D466" s="70"/>
      <c r="E466" s="68"/>
      <c r="F466" s="68"/>
      <c r="G466" s="95" t="str">
        <f t="shared" si="7"/>
        <v/>
      </c>
      <c r="H466" s="91" t="str">
        <f>IF(E466&lt;&gt;"",E466/'Project Summary'!$C$9,"")</f>
        <v/>
      </c>
      <c r="I466" s="97" t="str">
        <f>IF(F466&lt;&gt;"",F466/'Project Summary'!$C$10, "")</f>
        <v/>
      </c>
      <c r="J466" s="68"/>
      <c r="K466" s="69"/>
      <c r="L466" s="102"/>
      <c r="M466" s="102"/>
      <c r="N466" s="68"/>
      <c r="O466" s="68"/>
      <c r="P466" s="106"/>
      <c r="Q466" s="107"/>
      <c r="R466" s="107"/>
      <c r="S466" s="107"/>
      <c r="T466" s="107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</row>
    <row r="467" spans="2:36" x14ac:dyDescent="0.25">
      <c r="B467" s="68"/>
      <c r="C467" s="68"/>
      <c r="D467" s="70"/>
      <c r="E467" s="68"/>
      <c r="F467" s="68"/>
      <c r="G467" s="95" t="str">
        <f t="shared" si="7"/>
        <v/>
      </c>
      <c r="H467" s="91" t="str">
        <f>IF(E467&lt;&gt;"",E467/'Project Summary'!$C$9,"")</f>
        <v/>
      </c>
      <c r="I467" s="97" t="str">
        <f>IF(F467&lt;&gt;"",F467/'Project Summary'!$C$10, "")</f>
        <v/>
      </c>
      <c r="J467" s="68"/>
      <c r="K467" s="69"/>
      <c r="L467" s="102"/>
      <c r="M467" s="102"/>
      <c r="N467" s="68"/>
      <c r="O467" s="68"/>
      <c r="P467" s="106"/>
      <c r="Q467" s="107"/>
      <c r="R467" s="107"/>
      <c r="S467" s="107"/>
      <c r="T467" s="107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</row>
    <row r="468" spans="2:36" x14ac:dyDescent="0.25">
      <c r="B468" s="68"/>
      <c r="C468" s="68"/>
      <c r="D468" s="70"/>
      <c r="E468" s="68"/>
      <c r="F468" s="68"/>
      <c r="G468" s="95" t="str">
        <f t="shared" si="7"/>
        <v/>
      </c>
      <c r="H468" s="91" t="str">
        <f>IF(E468&lt;&gt;"",E468/'Project Summary'!$C$9,"")</f>
        <v/>
      </c>
      <c r="I468" s="97" t="str">
        <f>IF(F468&lt;&gt;"",F468/'Project Summary'!$C$10, "")</f>
        <v/>
      </c>
      <c r="J468" s="68"/>
      <c r="K468" s="69"/>
      <c r="L468" s="102"/>
      <c r="M468" s="102"/>
      <c r="N468" s="68"/>
      <c r="O468" s="68"/>
      <c r="P468" s="106"/>
      <c r="Q468" s="107"/>
      <c r="R468" s="107"/>
      <c r="S468" s="107"/>
      <c r="T468" s="107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</row>
    <row r="469" spans="2:36" x14ac:dyDescent="0.25">
      <c r="B469" s="68"/>
      <c r="C469" s="68"/>
      <c r="D469" s="70"/>
      <c r="E469" s="68"/>
      <c r="F469" s="68"/>
      <c r="G469" s="95" t="str">
        <f t="shared" si="7"/>
        <v/>
      </c>
      <c r="H469" s="91" t="str">
        <f>IF(E469&lt;&gt;"",E469/'Project Summary'!$C$9,"")</f>
        <v/>
      </c>
      <c r="I469" s="97" t="str">
        <f>IF(F469&lt;&gt;"",F469/'Project Summary'!$C$10, "")</f>
        <v/>
      </c>
      <c r="J469" s="68"/>
      <c r="K469" s="69"/>
      <c r="L469" s="102"/>
      <c r="M469" s="102"/>
      <c r="N469" s="68"/>
      <c r="O469" s="68"/>
      <c r="P469" s="106"/>
      <c r="Q469" s="107"/>
      <c r="R469" s="107"/>
      <c r="S469" s="107"/>
      <c r="T469" s="107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</row>
    <row r="470" spans="2:36" x14ac:dyDescent="0.25">
      <c r="B470" s="68"/>
      <c r="C470" s="68"/>
      <c r="D470" s="70"/>
      <c r="E470" s="68"/>
      <c r="F470" s="68"/>
      <c r="G470" s="95" t="str">
        <f t="shared" si="7"/>
        <v/>
      </c>
      <c r="H470" s="91" t="str">
        <f>IF(E470&lt;&gt;"",E470/'Project Summary'!$C$9,"")</f>
        <v/>
      </c>
      <c r="I470" s="97" t="str">
        <f>IF(F470&lt;&gt;"",F470/'Project Summary'!$C$10, "")</f>
        <v/>
      </c>
      <c r="J470" s="68"/>
      <c r="K470" s="69"/>
      <c r="L470" s="102"/>
      <c r="M470" s="102"/>
      <c r="N470" s="68"/>
      <c r="O470" s="68"/>
      <c r="P470" s="106"/>
      <c r="Q470" s="107"/>
      <c r="R470" s="107"/>
      <c r="S470" s="107"/>
      <c r="T470" s="107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</row>
    <row r="471" spans="2:36" x14ac:dyDescent="0.25">
      <c r="B471" s="68"/>
      <c r="C471" s="68"/>
      <c r="D471" s="70"/>
      <c r="E471" s="68"/>
      <c r="F471" s="68"/>
      <c r="G471" s="95" t="str">
        <f t="shared" si="7"/>
        <v/>
      </c>
      <c r="H471" s="91" t="str">
        <f>IF(E471&lt;&gt;"",E471/'Project Summary'!$C$9,"")</f>
        <v/>
      </c>
      <c r="I471" s="97" t="str">
        <f>IF(F471&lt;&gt;"",F471/'Project Summary'!$C$10, "")</f>
        <v/>
      </c>
      <c r="J471" s="68"/>
      <c r="K471" s="69"/>
      <c r="L471" s="102"/>
      <c r="M471" s="102"/>
      <c r="N471" s="68"/>
      <c r="O471" s="68"/>
      <c r="P471" s="106"/>
      <c r="Q471" s="107"/>
      <c r="R471" s="107"/>
      <c r="S471" s="107"/>
      <c r="T471" s="107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</row>
    <row r="472" spans="2:36" x14ac:dyDescent="0.25">
      <c r="B472" s="68"/>
      <c r="C472" s="68"/>
      <c r="D472" s="70"/>
      <c r="E472" s="68"/>
      <c r="F472" s="68"/>
      <c r="G472" s="95" t="str">
        <f t="shared" si="7"/>
        <v/>
      </c>
      <c r="H472" s="91" t="str">
        <f>IF(E472&lt;&gt;"",E472/'Project Summary'!$C$9,"")</f>
        <v/>
      </c>
      <c r="I472" s="97" t="str">
        <f>IF(F472&lt;&gt;"",F472/'Project Summary'!$C$10, "")</f>
        <v/>
      </c>
      <c r="J472" s="68"/>
      <c r="K472" s="69"/>
      <c r="L472" s="102"/>
      <c r="M472" s="102"/>
      <c r="N472" s="68"/>
      <c r="O472" s="68"/>
      <c r="P472" s="106"/>
      <c r="Q472" s="107"/>
      <c r="R472" s="107"/>
      <c r="S472" s="107"/>
      <c r="T472" s="107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</row>
    <row r="473" spans="2:36" x14ac:dyDescent="0.25">
      <c r="B473" s="68"/>
      <c r="C473" s="68"/>
      <c r="D473" s="70"/>
      <c r="E473" s="68"/>
      <c r="F473" s="68"/>
      <c r="G473" s="95" t="str">
        <f t="shared" si="7"/>
        <v/>
      </c>
      <c r="H473" s="91" t="str">
        <f>IF(E473&lt;&gt;"",E473/'Project Summary'!$C$9,"")</f>
        <v/>
      </c>
      <c r="I473" s="97" t="str">
        <f>IF(F473&lt;&gt;"",F473/'Project Summary'!$C$10, "")</f>
        <v/>
      </c>
      <c r="J473" s="68"/>
      <c r="K473" s="69"/>
      <c r="L473" s="102"/>
      <c r="M473" s="102"/>
      <c r="N473" s="68"/>
      <c r="O473" s="68"/>
      <c r="P473" s="106"/>
      <c r="Q473" s="107"/>
      <c r="R473" s="107"/>
      <c r="S473" s="107"/>
      <c r="T473" s="107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</row>
    <row r="474" spans="2:36" x14ac:dyDescent="0.25">
      <c r="B474" s="68"/>
      <c r="C474" s="68"/>
      <c r="D474" s="70"/>
      <c r="E474" s="68"/>
      <c r="F474" s="68"/>
      <c r="G474" s="95" t="str">
        <f t="shared" si="7"/>
        <v/>
      </c>
      <c r="H474" s="91" t="str">
        <f>IF(E474&lt;&gt;"",E474/'Project Summary'!$C$9,"")</f>
        <v/>
      </c>
      <c r="I474" s="97" t="str">
        <f>IF(F474&lt;&gt;"",F474/'Project Summary'!$C$10, "")</f>
        <v/>
      </c>
      <c r="J474" s="68"/>
      <c r="K474" s="69"/>
      <c r="L474" s="102"/>
      <c r="M474" s="102"/>
      <c r="N474" s="68"/>
      <c r="O474" s="68"/>
      <c r="P474" s="106"/>
      <c r="Q474" s="107"/>
      <c r="R474" s="107"/>
      <c r="S474" s="107"/>
      <c r="T474" s="107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</row>
    <row r="475" spans="2:36" x14ac:dyDescent="0.25">
      <c r="B475" s="68"/>
      <c r="C475" s="68"/>
      <c r="D475" s="70"/>
      <c r="E475" s="68"/>
      <c r="F475" s="68"/>
      <c r="G475" s="95" t="str">
        <f t="shared" si="7"/>
        <v/>
      </c>
      <c r="H475" s="91" t="str">
        <f>IF(E475&lt;&gt;"",E475/'Project Summary'!$C$9,"")</f>
        <v/>
      </c>
      <c r="I475" s="97" t="str">
        <f>IF(F475&lt;&gt;"",F475/'Project Summary'!$C$10, "")</f>
        <v/>
      </c>
      <c r="J475" s="68"/>
      <c r="K475" s="69"/>
      <c r="L475" s="102"/>
      <c r="M475" s="102"/>
      <c r="N475" s="68"/>
      <c r="O475" s="68"/>
      <c r="P475" s="106"/>
      <c r="Q475" s="107"/>
      <c r="R475" s="107"/>
      <c r="S475" s="107"/>
      <c r="T475" s="107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</row>
    <row r="476" spans="2:36" x14ac:dyDescent="0.25">
      <c r="B476" s="68"/>
      <c r="C476" s="68"/>
      <c r="D476" s="70"/>
      <c r="E476" s="68"/>
      <c r="F476" s="68"/>
      <c r="G476" s="95" t="str">
        <f t="shared" si="7"/>
        <v/>
      </c>
      <c r="H476" s="91" t="str">
        <f>IF(E476&lt;&gt;"",E476/'Project Summary'!$C$9,"")</f>
        <v/>
      </c>
      <c r="I476" s="97" t="str">
        <f>IF(F476&lt;&gt;"",F476/'Project Summary'!$C$10, "")</f>
        <v/>
      </c>
      <c r="J476" s="68"/>
      <c r="K476" s="69"/>
      <c r="L476" s="102"/>
      <c r="M476" s="102"/>
      <c r="N476" s="68"/>
      <c r="O476" s="68"/>
      <c r="P476" s="106"/>
      <c r="Q476" s="107"/>
      <c r="R476" s="107"/>
      <c r="S476" s="107"/>
      <c r="T476" s="107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</row>
    <row r="477" spans="2:36" x14ac:dyDescent="0.25">
      <c r="B477" s="68"/>
      <c r="C477" s="68"/>
      <c r="D477" s="70"/>
      <c r="E477" s="68"/>
      <c r="F477" s="68"/>
      <c r="G477" s="95" t="str">
        <f t="shared" si="7"/>
        <v/>
      </c>
      <c r="H477" s="91" t="str">
        <f>IF(E477&lt;&gt;"",E477/'Project Summary'!$C$9,"")</f>
        <v/>
      </c>
      <c r="I477" s="97" t="str">
        <f>IF(F477&lt;&gt;"",F477/'Project Summary'!$C$10, "")</f>
        <v/>
      </c>
      <c r="J477" s="68"/>
      <c r="K477" s="69"/>
      <c r="L477" s="102"/>
      <c r="M477" s="102"/>
      <c r="N477" s="68"/>
      <c r="O477" s="68"/>
      <c r="P477" s="106"/>
      <c r="Q477" s="107"/>
      <c r="R477" s="107"/>
      <c r="S477" s="107"/>
      <c r="T477" s="107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</row>
    <row r="478" spans="2:36" x14ac:dyDescent="0.25">
      <c r="B478" s="68"/>
      <c r="C478" s="68"/>
      <c r="D478" s="70"/>
      <c r="E478" s="68"/>
      <c r="F478" s="68"/>
      <c r="G478" s="95" t="str">
        <f t="shared" si="7"/>
        <v/>
      </c>
      <c r="H478" s="91" t="str">
        <f>IF(E478&lt;&gt;"",E478/'Project Summary'!$C$9,"")</f>
        <v/>
      </c>
      <c r="I478" s="97" t="str">
        <f>IF(F478&lt;&gt;"",F478/'Project Summary'!$C$10, "")</f>
        <v/>
      </c>
      <c r="J478" s="68"/>
      <c r="K478" s="69"/>
      <c r="L478" s="102"/>
      <c r="M478" s="102"/>
      <c r="N478" s="68"/>
      <c r="O478" s="68"/>
      <c r="P478" s="106"/>
      <c r="Q478" s="107"/>
      <c r="R478" s="107"/>
      <c r="S478" s="107"/>
      <c r="T478" s="107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</row>
    <row r="479" spans="2:36" x14ac:dyDescent="0.25">
      <c r="B479" s="68"/>
      <c r="C479" s="68"/>
      <c r="D479" s="70"/>
      <c r="E479" s="68"/>
      <c r="F479" s="68"/>
      <c r="G479" s="95" t="str">
        <f t="shared" si="7"/>
        <v/>
      </c>
      <c r="H479" s="91" t="str">
        <f>IF(E479&lt;&gt;"",E479/'Project Summary'!$C$9,"")</f>
        <v/>
      </c>
      <c r="I479" s="97" t="str">
        <f>IF(F479&lt;&gt;"",F479/'Project Summary'!$C$10, "")</f>
        <v/>
      </c>
      <c r="J479" s="68"/>
      <c r="K479" s="69"/>
      <c r="L479" s="102"/>
      <c r="M479" s="102"/>
      <c r="N479" s="68"/>
      <c r="O479" s="68"/>
      <c r="P479" s="106"/>
      <c r="Q479" s="107"/>
      <c r="R479" s="107"/>
      <c r="S479" s="107"/>
      <c r="T479" s="107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</row>
    <row r="480" spans="2:36" x14ac:dyDescent="0.25">
      <c r="B480" s="68"/>
      <c r="C480" s="68"/>
      <c r="D480" s="70"/>
      <c r="E480" s="68"/>
      <c r="F480" s="68"/>
      <c r="G480" s="95" t="str">
        <f t="shared" si="7"/>
        <v/>
      </c>
      <c r="H480" s="91" t="str">
        <f>IF(E480&lt;&gt;"",E480/'Project Summary'!$C$9,"")</f>
        <v/>
      </c>
      <c r="I480" s="97" t="str">
        <f>IF(F480&lt;&gt;"",F480/'Project Summary'!$C$10, "")</f>
        <v/>
      </c>
      <c r="J480" s="68"/>
      <c r="K480" s="69"/>
      <c r="L480" s="102"/>
      <c r="M480" s="102"/>
      <c r="N480" s="68"/>
      <c r="O480" s="68"/>
      <c r="P480" s="106"/>
      <c r="Q480" s="107"/>
      <c r="R480" s="107"/>
      <c r="S480" s="107"/>
      <c r="T480" s="107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</row>
    <row r="481" spans="2:36" x14ac:dyDescent="0.25">
      <c r="B481" s="68"/>
      <c r="C481" s="68"/>
      <c r="D481" s="70"/>
      <c r="E481" s="68"/>
      <c r="F481" s="68"/>
      <c r="G481" s="95" t="str">
        <f t="shared" si="7"/>
        <v/>
      </c>
      <c r="H481" s="91" t="str">
        <f>IF(E481&lt;&gt;"",E481/'Project Summary'!$C$9,"")</f>
        <v/>
      </c>
      <c r="I481" s="97" t="str">
        <f>IF(F481&lt;&gt;"",F481/'Project Summary'!$C$10, "")</f>
        <v/>
      </c>
      <c r="J481" s="68"/>
      <c r="K481" s="69"/>
      <c r="L481" s="102"/>
      <c r="M481" s="102"/>
      <c r="N481" s="68"/>
      <c r="O481" s="68"/>
      <c r="P481" s="106"/>
      <c r="Q481" s="107"/>
      <c r="R481" s="107"/>
      <c r="S481" s="107"/>
      <c r="T481" s="107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</row>
    <row r="482" spans="2:36" x14ac:dyDescent="0.25">
      <c r="B482" s="68"/>
      <c r="C482" s="68"/>
      <c r="D482" s="70"/>
      <c r="E482" s="68"/>
      <c r="F482" s="68"/>
      <c r="G482" s="95" t="str">
        <f t="shared" si="7"/>
        <v/>
      </c>
      <c r="H482" s="91" t="str">
        <f>IF(E482&lt;&gt;"",E482/'Project Summary'!$C$9,"")</f>
        <v/>
      </c>
      <c r="I482" s="97" t="str">
        <f>IF(F482&lt;&gt;"",F482/'Project Summary'!$C$10, "")</f>
        <v/>
      </c>
      <c r="J482" s="68"/>
      <c r="K482" s="69"/>
      <c r="L482" s="102"/>
      <c r="M482" s="102"/>
      <c r="N482" s="68"/>
      <c r="O482" s="68"/>
      <c r="P482" s="106"/>
      <c r="Q482" s="107"/>
      <c r="R482" s="107"/>
      <c r="S482" s="107"/>
      <c r="T482" s="107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</row>
    <row r="483" spans="2:36" x14ac:dyDescent="0.25">
      <c r="B483" s="68"/>
      <c r="C483" s="68"/>
      <c r="D483" s="70"/>
      <c r="E483" s="68"/>
      <c r="F483" s="68"/>
      <c r="G483" s="95" t="str">
        <f t="shared" si="7"/>
        <v/>
      </c>
      <c r="H483" s="91" t="str">
        <f>IF(E483&lt;&gt;"",E483/'Project Summary'!$C$9,"")</f>
        <v/>
      </c>
      <c r="I483" s="97" t="str">
        <f>IF(F483&lt;&gt;"",F483/'Project Summary'!$C$10, "")</f>
        <v/>
      </c>
      <c r="J483" s="68"/>
      <c r="K483" s="69"/>
      <c r="L483" s="102"/>
      <c r="M483" s="102"/>
      <c r="N483" s="68"/>
      <c r="O483" s="68"/>
      <c r="P483" s="106"/>
      <c r="Q483" s="107"/>
      <c r="R483" s="107"/>
      <c r="S483" s="107"/>
      <c r="T483" s="107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</row>
    <row r="484" spans="2:36" x14ac:dyDescent="0.25">
      <c r="B484" s="68"/>
      <c r="C484" s="68"/>
      <c r="D484" s="70"/>
      <c r="E484" s="68"/>
      <c r="F484" s="68"/>
      <c r="G484" s="95" t="str">
        <f t="shared" si="7"/>
        <v/>
      </c>
      <c r="H484" s="91" t="str">
        <f>IF(E484&lt;&gt;"",E484/'Project Summary'!$C$9,"")</f>
        <v/>
      </c>
      <c r="I484" s="97" t="str">
        <f>IF(F484&lt;&gt;"",F484/'Project Summary'!$C$10, "")</f>
        <v/>
      </c>
      <c r="J484" s="68"/>
      <c r="K484" s="69"/>
      <c r="L484" s="102"/>
      <c r="M484" s="102"/>
      <c r="N484" s="68"/>
      <c r="O484" s="68"/>
      <c r="P484" s="106"/>
      <c r="Q484" s="107"/>
      <c r="R484" s="107"/>
      <c r="S484" s="107"/>
      <c r="T484" s="107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</row>
    <row r="485" spans="2:36" x14ac:dyDescent="0.25">
      <c r="B485" s="68"/>
      <c r="C485" s="68"/>
      <c r="D485" s="70"/>
      <c r="E485" s="68"/>
      <c r="F485" s="68"/>
      <c r="G485" s="95" t="str">
        <f t="shared" si="7"/>
        <v/>
      </c>
      <c r="H485" s="91" t="str">
        <f>IF(E485&lt;&gt;"",E485/'Project Summary'!$C$9,"")</f>
        <v/>
      </c>
      <c r="I485" s="97" t="str">
        <f>IF(F485&lt;&gt;"",F485/'Project Summary'!$C$10, "")</f>
        <v/>
      </c>
      <c r="J485" s="68"/>
      <c r="K485" s="69"/>
      <c r="L485" s="102"/>
      <c r="M485" s="102"/>
      <c r="N485" s="68"/>
      <c r="O485" s="68"/>
      <c r="P485" s="106"/>
      <c r="Q485" s="107"/>
      <c r="R485" s="107"/>
      <c r="S485" s="107"/>
      <c r="T485" s="107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</row>
    <row r="486" spans="2:36" x14ac:dyDescent="0.25">
      <c r="B486" s="68"/>
      <c r="C486" s="68"/>
      <c r="D486" s="70"/>
      <c r="E486" s="68"/>
      <c r="F486" s="68"/>
      <c r="G486" s="95" t="str">
        <f t="shared" si="7"/>
        <v/>
      </c>
      <c r="H486" s="91" t="str">
        <f>IF(E486&lt;&gt;"",E486/'Project Summary'!$C$9,"")</f>
        <v/>
      </c>
      <c r="I486" s="97" t="str">
        <f>IF(F486&lt;&gt;"",F486/'Project Summary'!$C$10, "")</f>
        <v/>
      </c>
      <c r="J486" s="68"/>
      <c r="K486" s="69"/>
      <c r="L486" s="102"/>
      <c r="M486" s="102"/>
      <c r="N486" s="68"/>
      <c r="O486" s="68"/>
      <c r="P486" s="106"/>
      <c r="Q486" s="107"/>
      <c r="R486" s="107"/>
      <c r="S486" s="107"/>
      <c r="T486" s="107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</row>
    <row r="487" spans="2:36" x14ac:dyDescent="0.25">
      <c r="B487" s="68"/>
      <c r="C487" s="68"/>
      <c r="D487" s="70"/>
      <c r="E487" s="68"/>
      <c r="F487" s="68"/>
      <c r="G487" s="95" t="str">
        <f t="shared" si="7"/>
        <v/>
      </c>
      <c r="H487" s="91" t="str">
        <f>IF(E487&lt;&gt;"",E487/'Project Summary'!$C$9,"")</f>
        <v/>
      </c>
      <c r="I487" s="97" t="str">
        <f>IF(F487&lt;&gt;"",F487/'Project Summary'!$C$10, "")</f>
        <v/>
      </c>
      <c r="J487" s="68"/>
      <c r="K487" s="69"/>
      <c r="L487" s="102"/>
      <c r="M487" s="102"/>
      <c r="N487" s="68"/>
      <c r="O487" s="68"/>
      <c r="P487" s="106"/>
      <c r="Q487" s="107"/>
      <c r="R487" s="107"/>
      <c r="S487" s="107"/>
      <c r="T487" s="107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</row>
    <row r="488" spans="2:36" x14ac:dyDescent="0.25">
      <c r="B488" s="68"/>
      <c r="C488" s="68"/>
      <c r="D488" s="70"/>
      <c r="E488" s="68"/>
      <c r="F488" s="68"/>
      <c r="G488" s="95" t="str">
        <f t="shared" si="7"/>
        <v/>
      </c>
      <c r="H488" s="91" t="str">
        <f>IF(E488&lt;&gt;"",E488/'Project Summary'!$C$9,"")</f>
        <v/>
      </c>
      <c r="I488" s="97" t="str">
        <f>IF(F488&lt;&gt;"",F488/'Project Summary'!$C$10, "")</f>
        <v/>
      </c>
      <c r="J488" s="68"/>
      <c r="K488" s="69"/>
      <c r="L488" s="102"/>
      <c r="M488" s="102"/>
      <c r="N488" s="68"/>
      <c r="O488" s="68"/>
      <c r="P488" s="106"/>
      <c r="Q488" s="107"/>
      <c r="R488" s="107"/>
      <c r="S488" s="107"/>
      <c r="T488" s="107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</row>
    <row r="489" spans="2:36" x14ac:dyDescent="0.25">
      <c r="B489" s="68"/>
      <c r="C489" s="68"/>
      <c r="D489" s="70"/>
      <c r="E489" s="68"/>
      <c r="F489" s="68"/>
      <c r="G489" s="95" t="str">
        <f t="shared" si="7"/>
        <v/>
      </c>
      <c r="H489" s="91" t="str">
        <f>IF(E489&lt;&gt;"",E489/'Project Summary'!$C$9,"")</f>
        <v/>
      </c>
      <c r="I489" s="97" t="str">
        <f>IF(F489&lt;&gt;"",F489/'Project Summary'!$C$10, "")</f>
        <v/>
      </c>
      <c r="J489" s="68"/>
      <c r="K489" s="69"/>
      <c r="L489" s="102"/>
      <c r="M489" s="102"/>
      <c r="N489" s="68"/>
      <c r="O489" s="68"/>
      <c r="P489" s="106"/>
      <c r="Q489" s="107"/>
      <c r="R489" s="107"/>
      <c r="S489" s="107"/>
      <c r="T489" s="107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</row>
    <row r="490" spans="2:36" x14ac:dyDescent="0.25">
      <c r="B490" s="68"/>
      <c r="C490" s="68"/>
      <c r="D490" s="70"/>
      <c r="E490" s="68"/>
      <c r="F490" s="68"/>
      <c r="G490" s="95" t="str">
        <f t="shared" si="7"/>
        <v/>
      </c>
      <c r="H490" s="91" t="str">
        <f>IF(E490&lt;&gt;"",E490/'Project Summary'!$C$9,"")</f>
        <v/>
      </c>
      <c r="I490" s="97" t="str">
        <f>IF(F490&lt;&gt;"",F490/'Project Summary'!$C$10, "")</f>
        <v/>
      </c>
      <c r="J490" s="68"/>
      <c r="K490" s="69"/>
      <c r="L490" s="102"/>
      <c r="M490" s="102"/>
      <c r="N490" s="68"/>
      <c r="O490" s="68"/>
      <c r="P490" s="106"/>
      <c r="Q490" s="107"/>
      <c r="R490" s="107"/>
      <c r="S490" s="107"/>
      <c r="T490" s="107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</row>
    <row r="491" spans="2:36" x14ac:dyDescent="0.25">
      <c r="B491" s="68"/>
      <c r="C491" s="68"/>
      <c r="D491" s="70"/>
      <c r="E491" s="68"/>
      <c r="F491" s="68"/>
      <c r="G491" s="95" t="str">
        <f t="shared" si="7"/>
        <v/>
      </c>
      <c r="H491" s="91" t="str">
        <f>IF(E491&lt;&gt;"",E491/'Project Summary'!$C$9,"")</f>
        <v/>
      </c>
      <c r="I491" s="97" t="str">
        <f>IF(F491&lt;&gt;"",F491/'Project Summary'!$C$10, "")</f>
        <v/>
      </c>
      <c r="J491" s="68"/>
      <c r="K491" s="69"/>
      <c r="L491" s="102"/>
      <c r="M491" s="102"/>
      <c r="N491" s="68"/>
      <c r="O491" s="68"/>
      <c r="P491" s="106"/>
      <c r="Q491" s="107"/>
      <c r="R491" s="107"/>
      <c r="S491" s="107"/>
      <c r="T491" s="107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</row>
    <row r="492" spans="2:36" x14ac:dyDescent="0.25">
      <c r="B492" s="68"/>
      <c r="C492" s="68"/>
      <c r="D492" s="70"/>
      <c r="E492" s="68"/>
      <c r="F492" s="68"/>
      <c r="G492" s="95" t="str">
        <f t="shared" si="7"/>
        <v/>
      </c>
      <c r="H492" s="91" t="str">
        <f>IF(E492&lt;&gt;"",E492/'Project Summary'!$C$9,"")</f>
        <v/>
      </c>
      <c r="I492" s="97" t="str">
        <f>IF(F492&lt;&gt;"",F492/'Project Summary'!$C$10, "")</f>
        <v/>
      </c>
      <c r="J492" s="68"/>
      <c r="K492" s="69"/>
      <c r="L492" s="102"/>
      <c r="M492" s="102"/>
      <c r="N492" s="68"/>
      <c r="O492" s="68"/>
      <c r="P492" s="106"/>
      <c r="Q492" s="107"/>
      <c r="R492" s="107"/>
      <c r="S492" s="107"/>
      <c r="T492" s="107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</row>
    <row r="493" spans="2:36" x14ac:dyDescent="0.25">
      <c r="B493" s="68"/>
      <c r="C493" s="68"/>
      <c r="D493" s="70"/>
      <c r="E493" s="68"/>
      <c r="F493" s="68"/>
      <c r="G493" s="95" t="str">
        <f t="shared" si="7"/>
        <v/>
      </c>
      <c r="H493" s="91" t="str">
        <f>IF(E493&lt;&gt;"",E493/'Project Summary'!$C$9,"")</f>
        <v/>
      </c>
      <c r="I493" s="97" t="str">
        <f>IF(F493&lt;&gt;"",F493/'Project Summary'!$C$10, "")</f>
        <v/>
      </c>
      <c r="J493" s="68"/>
      <c r="K493" s="69"/>
      <c r="L493" s="102"/>
      <c r="M493" s="102"/>
      <c r="N493" s="68"/>
      <c r="O493" s="68"/>
      <c r="P493" s="106"/>
      <c r="Q493" s="107"/>
      <c r="R493" s="107"/>
      <c r="S493" s="107"/>
      <c r="T493" s="107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</row>
    <row r="494" spans="2:36" x14ac:dyDescent="0.25">
      <c r="B494" s="68"/>
      <c r="C494" s="68"/>
      <c r="D494" s="70"/>
      <c r="E494" s="68"/>
      <c r="F494" s="68"/>
      <c r="G494" s="95" t="str">
        <f t="shared" si="7"/>
        <v/>
      </c>
      <c r="H494" s="91" t="str">
        <f>IF(E494&lt;&gt;"",E494/'Project Summary'!$C$9,"")</f>
        <v/>
      </c>
      <c r="I494" s="97" t="str">
        <f>IF(F494&lt;&gt;"",F494/'Project Summary'!$C$10, "")</f>
        <v/>
      </c>
      <c r="J494" s="68"/>
      <c r="K494" s="69"/>
      <c r="L494" s="102"/>
      <c r="M494" s="102"/>
      <c r="N494" s="68"/>
      <c r="O494" s="68"/>
      <c r="P494" s="106"/>
      <c r="Q494" s="107"/>
      <c r="R494" s="107"/>
      <c r="S494" s="107"/>
      <c r="T494" s="107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</row>
    <row r="495" spans="2:36" x14ac:dyDescent="0.25">
      <c r="B495" s="68"/>
      <c r="C495" s="68"/>
      <c r="D495" s="70"/>
      <c r="E495" s="68"/>
      <c r="F495" s="68"/>
      <c r="G495" s="95" t="str">
        <f t="shared" si="7"/>
        <v/>
      </c>
      <c r="H495" s="91" t="str">
        <f>IF(E495&lt;&gt;"",E495/'Project Summary'!$C$9,"")</f>
        <v/>
      </c>
      <c r="I495" s="97" t="str">
        <f>IF(F495&lt;&gt;"",F495/'Project Summary'!$C$10, "")</f>
        <v/>
      </c>
      <c r="J495" s="68"/>
      <c r="K495" s="69"/>
      <c r="L495" s="102"/>
      <c r="M495" s="102"/>
      <c r="N495" s="68"/>
      <c r="O495" s="68"/>
      <c r="P495" s="106"/>
      <c r="Q495" s="107"/>
      <c r="R495" s="107"/>
      <c r="S495" s="107"/>
      <c r="T495" s="107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</row>
    <row r="496" spans="2:36" x14ac:dyDescent="0.25">
      <c r="B496" s="68"/>
      <c r="C496" s="68"/>
      <c r="D496" s="70"/>
      <c r="E496" s="68"/>
      <c r="F496" s="68"/>
      <c r="G496" s="95" t="str">
        <f t="shared" si="7"/>
        <v/>
      </c>
      <c r="H496" s="91" t="str">
        <f>IF(E496&lt;&gt;"",E496/'Project Summary'!$C$9,"")</f>
        <v/>
      </c>
      <c r="I496" s="97" t="str">
        <f>IF(F496&lt;&gt;"",F496/'Project Summary'!$C$10, "")</f>
        <v/>
      </c>
      <c r="J496" s="68"/>
      <c r="K496" s="69"/>
      <c r="L496" s="102"/>
      <c r="M496" s="102"/>
      <c r="N496" s="68"/>
      <c r="O496" s="68"/>
      <c r="P496" s="106"/>
      <c r="Q496" s="107"/>
      <c r="R496" s="107"/>
      <c r="S496" s="107"/>
      <c r="T496" s="107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</row>
    <row r="497" spans="2:36" x14ac:dyDescent="0.25">
      <c r="B497" s="68"/>
      <c r="C497" s="68"/>
      <c r="D497" s="70"/>
      <c r="E497" s="68"/>
      <c r="F497" s="68"/>
      <c r="G497" s="95" t="str">
        <f t="shared" si="7"/>
        <v/>
      </c>
      <c r="H497" s="91" t="str">
        <f>IF(E497&lt;&gt;"",E497/'Project Summary'!$C$9,"")</f>
        <v/>
      </c>
      <c r="I497" s="97" t="str">
        <f>IF(F497&lt;&gt;"",F497/'Project Summary'!$C$10, "")</f>
        <v/>
      </c>
      <c r="J497" s="68"/>
      <c r="K497" s="69"/>
      <c r="L497" s="102"/>
      <c r="M497" s="102"/>
      <c r="N497" s="68"/>
      <c r="O497" s="68"/>
      <c r="P497" s="106"/>
      <c r="Q497" s="107"/>
      <c r="R497" s="107"/>
      <c r="S497" s="107"/>
      <c r="T497" s="107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</row>
    <row r="498" spans="2:36" x14ac:dyDescent="0.25">
      <c r="B498" s="68"/>
      <c r="C498" s="68"/>
      <c r="D498" s="70"/>
      <c r="E498" s="68"/>
      <c r="F498" s="68"/>
      <c r="G498" s="95" t="str">
        <f t="shared" si="7"/>
        <v/>
      </c>
      <c r="H498" s="91" t="str">
        <f>IF(E498&lt;&gt;"",E498/'Project Summary'!$C$9,"")</f>
        <v/>
      </c>
      <c r="I498" s="97" t="str">
        <f>IF(F498&lt;&gt;"",F498/'Project Summary'!$C$10, "")</f>
        <v/>
      </c>
      <c r="J498" s="68"/>
      <c r="K498" s="69"/>
      <c r="L498" s="102"/>
      <c r="M498" s="102"/>
      <c r="N498" s="68"/>
      <c r="O498" s="68"/>
      <c r="P498" s="106"/>
      <c r="Q498" s="107"/>
      <c r="R498" s="107"/>
      <c r="S498" s="107"/>
      <c r="T498" s="107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</row>
    <row r="499" spans="2:36" x14ac:dyDescent="0.25">
      <c r="B499" s="68"/>
      <c r="C499" s="68"/>
      <c r="D499" s="70"/>
      <c r="E499" s="68"/>
      <c r="F499" s="68"/>
      <c r="G499" s="95" t="str">
        <f t="shared" si="7"/>
        <v/>
      </c>
      <c r="H499" s="91" t="str">
        <f>IF(E499&lt;&gt;"",E499/'Project Summary'!$C$9,"")</f>
        <v/>
      </c>
      <c r="I499" s="97" t="str">
        <f>IF(F499&lt;&gt;"",F499/'Project Summary'!$C$10, "")</f>
        <v/>
      </c>
      <c r="J499" s="68"/>
      <c r="K499" s="69"/>
      <c r="L499" s="102"/>
      <c r="M499" s="102"/>
      <c r="N499" s="68"/>
      <c r="O499" s="68"/>
      <c r="P499" s="106"/>
      <c r="Q499" s="107"/>
      <c r="R499" s="107"/>
      <c r="S499" s="107"/>
      <c r="T499" s="107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</row>
    <row r="500" spans="2:36" x14ac:dyDescent="0.25">
      <c r="B500" s="68"/>
      <c r="C500" s="68"/>
      <c r="D500" s="70"/>
      <c r="E500" s="68"/>
      <c r="F500" s="68"/>
      <c r="G500" s="95" t="str">
        <f t="shared" si="7"/>
        <v/>
      </c>
      <c r="H500" s="91" t="str">
        <f>IF(E500&lt;&gt;"",E500/'Project Summary'!$C$9,"")</f>
        <v/>
      </c>
      <c r="I500" s="97" t="str">
        <f>IF(F500&lt;&gt;"",F500/'Project Summary'!$C$10, "")</f>
        <v/>
      </c>
      <c r="J500" s="68"/>
      <c r="K500" s="69"/>
      <c r="L500" s="102"/>
      <c r="M500" s="102"/>
      <c r="N500" s="68"/>
      <c r="O500" s="68"/>
      <c r="P500" s="106"/>
      <c r="Q500" s="107"/>
      <c r="R500" s="107"/>
      <c r="S500" s="107"/>
      <c r="T500" s="107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</row>
    <row r="501" spans="2:36" x14ac:dyDescent="0.25">
      <c r="B501" s="68"/>
      <c r="C501" s="68"/>
      <c r="D501" s="70"/>
      <c r="E501" s="68"/>
      <c r="F501" s="68"/>
      <c r="G501" s="95" t="str">
        <f t="shared" si="7"/>
        <v/>
      </c>
      <c r="H501" s="91" t="str">
        <f>IF(E501&lt;&gt;"",E501/'Project Summary'!$C$9,"")</f>
        <v/>
      </c>
      <c r="I501" s="97" t="str">
        <f>IF(F501&lt;&gt;"",F501/'Project Summary'!$C$10, "")</f>
        <v/>
      </c>
      <c r="J501" s="68"/>
      <c r="K501" s="69"/>
      <c r="L501" s="102"/>
      <c r="M501" s="102"/>
      <c r="N501" s="68"/>
      <c r="O501" s="68"/>
      <c r="P501" s="106"/>
      <c r="Q501" s="107"/>
      <c r="R501" s="107"/>
      <c r="S501" s="107"/>
      <c r="T501" s="107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</row>
    <row r="502" spans="2:36" x14ac:dyDescent="0.25">
      <c r="B502" s="68"/>
      <c r="C502" s="68"/>
      <c r="D502" s="70"/>
      <c r="E502" s="68"/>
      <c r="F502" s="68"/>
      <c r="G502" s="95" t="str">
        <f t="shared" si="7"/>
        <v/>
      </c>
      <c r="H502" s="91" t="str">
        <f>IF(E502&lt;&gt;"",E502/'Project Summary'!$C$9,"")</f>
        <v/>
      </c>
      <c r="I502" s="97" t="str">
        <f>IF(F502&lt;&gt;"",F502/'Project Summary'!$C$10, "")</f>
        <v/>
      </c>
      <c r="J502" s="68"/>
      <c r="K502" s="69"/>
      <c r="L502" s="102"/>
      <c r="M502" s="102"/>
      <c r="N502" s="68"/>
      <c r="O502" s="68"/>
      <c r="P502" s="106"/>
      <c r="Q502" s="107"/>
      <c r="R502" s="107"/>
      <c r="S502" s="107"/>
      <c r="T502" s="107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</row>
    <row r="503" spans="2:36" x14ac:dyDescent="0.25">
      <c r="B503" s="68"/>
      <c r="C503" s="68"/>
      <c r="D503" s="70"/>
      <c r="E503" s="68"/>
      <c r="F503" s="68"/>
      <c r="G503" s="95" t="str">
        <f t="shared" si="7"/>
        <v/>
      </c>
      <c r="H503" s="91" t="str">
        <f>IF(E503&lt;&gt;"",E503/'Project Summary'!$C$9,"")</f>
        <v/>
      </c>
      <c r="I503" s="97" t="str">
        <f>IF(F503&lt;&gt;"",F503/'Project Summary'!$C$10, "")</f>
        <v/>
      </c>
      <c r="J503" s="68"/>
      <c r="K503" s="69"/>
      <c r="L503" s="102"/>
      <c r="M503" s="102"/>
      <c r="N503" s="68"/>
      <c r="O503" s="68"/>
      <c r="P503" s="106"/>
      <c r="Q503" s="107"/>
      <c r="R503" s="107"/>
      <c r="S503" s="107"/>
      <c r="T503" s="107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</row>
    <row r="504" spans="2:36" x14ac:dyDescent="0.25">
      <c r="B504" s="68"/>
      <c r="C504" s="68"/>
      <c r="D504" s="70"/>
      <c r="E504" s="68"/>
      <c r="F504" s="68"/>
      <c r="G504" s="95" t="str">
        <f t="shared" si="7"/>
        <v/>
      </c>
      <c r="H504" s="91" t="str">
        <f>IF(E504&lt;&gt;"",E504/'Project Summary'!$C$9,"")</f>
        <v/>
      </c>
      <c r="I504" s="97" t="str">
        <f>IF(F504&lt;&gt;"",F504/'Project Summary'!$C$10, "")</f>
        <v/>
      </c>
      <c r="J504" s="68"/>
      <c r="K504" s="69"/>
      <c r="L504" s="102"/>
      <c r="M504" s="102"/>
      <c r="N504" s="68"/>
      <c r="O504" s="68"/>
      <c r="P504" s="106"/>
      <c r="Q504" s="107"/>
      <c r="R504" s="107"/>
      <c r="S504" s="107"/>
      <c r="T504" s="107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</row>
    <row r="505" spans="2:36" x14ac:dyDescent="0.25">
      <c r="B505" s="68"/>
      <c r="C505" s="68"/>
      <c r="D505" s="70"/>
      <c r="E505" s="68"/>
      <c r="F505" s="68"/>
      <c r="G505" s="95" t="str">
        <f t="shared" si="7"/>
        <v/>
      </c>
      <c r="H505" s="91" t="str">
        <f>IF(E505&lt;&gt;"",E505/'Project Summary'!$C$9,"")</f>
        <v/>
      </c>
      <c r="I505" s="97" t="str">
        <f>IF(F505&lt;&gt;"",F505/'Project Summary'!$C$10, "")</f>
        <v/>
      </c>
      <c r="J505" s="68"/>
      <c r="K505" s="69"/>
      <c r="L505" s="102"/>
      <c r="M505" s="102"/>
      <c r="N505" s="68"/>
      <c r="O505" s="68"/>
      <c r="P505" s="106"/>
      <c r="Q505" s="107"/>
      <c r="R505" s="107"/>
      <c r="S505" s="107"/>
      <c r="T505" s="107"/>
      <c r="V505" s="44"/>
      <c r="W505" s="44"/>
      <c r="X505" s="44"/>
      <c r="Y505" s="44"/>
      <c r="Z505" s="44"/>
      <c r="AA505" s="44"/>
      <c r="AB505" s="44"/>
      <c r="AC505" s="44"/>
      <c r="AD505" s="44"/>
      <c r="AE505" s="44"/>
      <c r="AF505" s="44"/>
      <c r="AG505" s="44"/>
      <c r="AH505" s="44"/>
      <c r="AI505" s="44"/>
      <c r="AJ505" s="44"/>
    </row>
    <row r="506" spans="2:36" x14ac:dyDescent="0.25">
      <c r="B506" s="68"/>
      <c r="C506" s="68"/>
      <c r="D506" s="70"/>
      <c r="E506" s="68"/>
      <c r="F506" s="68"/>
      <c r="G506" s="95" t="str">
        <f t="shared" si="7"/>
        <v/>
      </c>
      <c r="H506" s="91" t="str">
        <f>IF(E506&lt;&gt;"",E506/'Project Summary'!$C$9,"")</f>
        <v/>
      </c>
      <c r="I506" s="97" t="str">
        <f>IF(F506&lt;&gt;"",F506/'Project Summary'!$C$10, "")</f>
        <v/>
      </c>
      <c r="J506" s="68"/>
      <c r="K506" s="69"/>
      <c r="L506" s="102"/>
      <c r="M506" s="102"/>
      <c r="N506" s="68"/>
      <c r="O506" s="68"/>
      <c r="P506" s="106"/>
      <c r="Q506" s="107"/>
      <c r="R506" s="107"/>
      <c r="S506" s="107"/>
      <c r="T506" s="107"/>
      <c r="V506" s="44"/>
      <c r="W506" s="44"/>
      <c r="X506" s="44"/>
      <c r="Y506" s="44"/>
      <c r="Z506" s="44"/>
      <c r="AA506" s="44"/>
      <c r="AB506" s="44"/>
      <c r="AC506" s="44"/>
      <c r="AD506" s="44"/>
      <c r="AE506" s="44"/>
      <c r="AF506" s="44"/>
      <c r="AG506" s="44"/>
      <c r="AH506" s="44"/>
      <c r="AI506" s="44"/>
      <c r="AJ506" s="44"/>
    </row>
    <row r="507" spans="2:36" x14ac:dyDescent="0.25">
      <c r="B507" s="68"/>
      <c r="C507" s="68"/>
      <c r="D507" s="70"/>
      <c r="E507" s="68"/>
      <c r="F507" s="68"/>
      <c r="G507" s="95" t="str">
        <f t="shared" si="7"/>
        <v/>
      </c>
      <c r="H507" s="91" t="str">
        <f>IF(E507&lt;&gt;"",E507/'Project Summary'!$C$9,"")</f>
        <v/>
      </c>
      <c r="I507" s="97" t="str">
        <f>IF(F507&lt;&gt;"",F507/'Project Summary'!$C$10, "")</f>
        <v/>
      </c>
      <c r="J507" s="68"/>
      <c r="K507" s="69"/>
      <c r="L507" s="102"/>
      <c r="M507" s="102"/>
      <c r="N507" s="68"/>
      <c r="O507" s="68"/>
      <c r="P507" s="106"/>
      <c r="Q507" s="107"/>
      <c r="R507" s="107"/>
      <c r="S507" s="107"/>
      <c r="T507" s="107"/>
      <c r="V507" s="44"/>
      <c r="W507" s="44"/>
      <c r="X507" s="44"/>
      <c r="Y507" s="44"/>
      <c r="Z507" s="44"/>
      <c r="AA507" s="44"/>
      <c r="AB507" s="44"/>
      <c r="AC507" s="44"/>
      <c r="AD507" s="44"/>
      <c r="AE507" s="44"/>
      <c r="AF507" s="44"/>
      <c r="AG507" s="44"/>
      <c r="AH507" s="44"/>
      <c r="AI507" s="44"/>
      <c r="AJ507" s="44"/>
    </row>
    <row r="508" spans="2:36" x14ac:dyDescent="0.25">
      <c r="B508" s="68"/>
      <c r="C508" s="68"/>
      <c r="D508" s="70"/>
      <c r="E508" s="68"/>
      <c r="F508" s="68"/>
      <c r="G508" s="95" t="str">
        <f t="shared" si="7"/>
        <v/>
      </c>
      <c r="H508" s="91" t="str">
        <f>IF(E508&lt;&gt;"",E508/'Project Summary'!$C$9,"")</f>
        <v/>
      </c>
      <c r="I508" s="97" t="str">
        <f>IF(F508&lt;&gt;"",F508/'Project Summary'!$C$10, "")</f>
        <v/>
      </c>
      <c r="J508" s="68"/>
      <c r="K508" s="69"/>
      <c r="L508" s="102"/>
      <c r="M508" s="102"/>
      <c r="N508" s="68"/>
      <c r="O508" s="68"/>
      <c r="P508" s="106"/>
      <c r="Q508" s="107"/>
      <c r="R508" s="107"/>
      <c r="S508" s="107"/>
      <c r="T508" s="107"/>
      <c r="V508" s="44"/>
      <c r="W508" s="44"/>
      <c r="X508" s="44"/>
      <c r="Y508" s="44"/>
      <c r="Z508" s="44"/>
      <c r="AA508" s="44"/>
      <c r="AB508" s="44"/>
      <c r="AC508" s="44"/>
      <c r="AD508" s="44"/>
      <c r="AE508" s="44"/>
      <c r="AF508" s="44"/>
      <c r="AG508" s="44"/>
      <c r="AH508" s="44"/>
      <c r="AI508" s="44"/>
      <c r="AJ508" s="44"/>
    </row>
    <row r="509" spans="2:36" x14ac:dyDescent="0.25">
      <c r="B509" s="68"/>
      <c r="C509" s="68"/>
      <c r="D509" s="70"/>
      <c r="E509" s="68"/>
      <c r="F509" s="68"/>
      <c r="G509" s="95" t="str">
        <f t="shared" si="7"/>
        <v/>
      </c>
      <c r="H509" s="91" t="str">
        <f>IF(E509&lt;&gt;"",E509/'Project Summary'!$C$9,"")</f>
        <v/>
      </c>
      <c r="I509" s="97" t="str">
        <f>IF(F509&lt;&gt;"",F509/'Project Summary'!$C$10, "")</f>
        <v/>
      </c>
      <c r="J509" s="68"/>
      <c r="K509" s="69"/>
      <c r="L509" s="102"/>
      <c r="M509" s="102"/>
      <c r="N509" s="68"/>
      <c r="O509" s="68"/>
      <c r="P509" s="106"/>
      <c r="Q509" s="107"/>
      <c r="R509" s="107"/>
      <c r="S509" s="107"/>
      <c r="T509" s="107"/>
      <c r="V509" s="44"/>
      <c r="W509" s="44"/>
      <c r="X509" s="44"/>
      <c r="Y509" s="44"/>
      <c r="Z509" s="44"/>
      <c r="AA509" s="44"/>
      <c r="AB509" s="44"/>
      <c r="AC509" s="44"/>
      <c r="AD509" s="44"/>
      <c r="AE509" s="44"/>
      <c r="AF509" s="44"/>
      <c r="AG509" s="44"/>
      <c r="AH509" s="44"/>
      <c r="AI509" s="44"/>
      <c r="AJ509" s="44"/>
    </row>
    <row r="510" spans="2:36" x14ac:dyDescent="0.25">
      <c r="B510" s="68"/>
      <c r="C510" s="68"/>
      <c r="D510" s="70"/>
      <c r="E510" s="68"/>
      <c r="F510" s="68"/>
      <c r="G510" s="95" t="str">
        <f t="shared" si="7"/>
        <v/>
      </c>
      <c r="H510" s="91" t="str">
        <f>IF(E510&lt;&gt;"",E510/'Project Summary'!$C$9,"")</f>
        <v/>
      </c>
      <c r="I510" s="97" t="str">
        <f>IF(F510&lt;&gt;"",F510/'Project Summary'!$C$10, "")</f>
        <v/>
      </c>
      <c r="J510" s="68"/>
      <c r="K510" s="69"/>
      <c r="L510" s="102"/>
      <c r="M510" s="102"/>
      <c r="N510" s="68"/>
      <c r="O510" s="68"/>
      <c r="P510" s="106"/>
      <c r="Q510" s="107"/>
      <c r="R510" s="107"/>
      <c r="S510" s="107"/>
      <c r="T510" s="107"/>
      <c r="V510" s="44"/>
      <c r="W510" s="44"/>
      <c r="X510" s="44"/>
      <c r="Y510" s="44"/>
      <c r="Z510" s="44"/>
      <c r="AA510" s="44"/>
      <c r="AB510" s="44"/>
      <c r="AC510" s="44"/>
      <c r="AD510" s="44"/>
      <c r="AE510" s="44"/>
      <c r="AF510" s="44"/>
      <c r="AG510" s="44"/>
      <c r="AH510" s="44"/>
      <c r="AI510" s="44"/>
      <c r="AJ510" s="44"/>
    </row>
    <row r="511" spans="2:36" x14ac:dyDescent="0.25">
      <c r="B511" s="68"/>
      <c r="C511" s="68"/>
      <c r="D511" s="70"/>
      <c r="E511" s="68"/>
      <c r="F511" s="68"/>
      <c r="G511" s="95" t="str">
        <f t="shared" si="7"/>
        <v/>
      </c>
      <c r="H511" s="91" t="str">
        <f>IF(E511&lt;&gt;"",E511/'Project Summary'!$C$9,"")</f>
        <v/>
      </c>
      <c r="I511" s="97" t="str">
        <f>IF(F511&lt;&gt;"",F511/'Project Summary'!$C$10, "")</f>
        <v/>
      </c>
      <c r="J511" s="68"/>
      <c r="K511" s="69"/>
      <c r="L511" s="102"/>
      <c r="M511" s="102"/>
      <c r="N511" s="68"/>
      <c r="O511" s="68"/>
      <c r="P511" s="106"/>
      <c r="Q511" s="107"/>
      <c r="R511" s="107"/>
      <c r="S511" s="107"/>
      <c r="T511" s="107"/>
      <c r="V511" s="44"/>
      <c r="W511" s="44"/>
      <c r="X511" s="44"/>
      <c r="Y511" s="44"/>
      <c r="Z511" s="44"/>
      <c r="AA511" s="44"/>
      <c r="AB511" s="44"/>
      <c r="AC511" s="44"/>
      <c r="AD511" s="44"/>
      <c r="AE511" s="44"/>
      <c r="AF511" s="44"/>
      <c r="AG511" s="44"/>
      <c r="AH511" s="44"/>
      <c r="AI511" s="44"/>
      <c r="AJ511" s="44"/>
    </row>
    <row r="512" spans="2:36" x14ac:dyDescent="0.25">
      <c r="B512" s="68"/>
      <c r="C512" s="68"/>
      <c r="D512" s="70"/>
      <c r="E512" s="68"/>
      <c r="F512" s="68"/>
      <c r="G512" s="95" t="str">
        <f t="shared" si="7"/>
        <v/>
      </c>
      <c r="H512" s="91" t="str">
        <f>IF(E512&lt;&gt;"",E512/'Project Summary'!$C$9,"")</f>
        <v/>
      </c>
      <c r="I512" s="97" t="str">
        <f>IF(F512&lt;&gt;"",F512/'Project Summary'!$C$10, "")</f>
        <v/>
      </c>
      <c r="J512" s="68"/>
      <c r="K512" s="69"/>
      <c r="L512" s="102"/>
      <c r="M512" s="102"/>
      <c r="N512" s="68"/>
      <c r="O512" s="68"/>
      <c r="P512" s="106"/>
      <c r="Q512" s="107"/>
      <c r="R512" s="107"/>
      <c r="S512" s="107"/>
      <c r="T512" s="107"/>
      <c r="V512" s="44"/>
      <c r="W512" s="44"/>
      <c r="X512" s="44"/>
      <c r="Y512" s="44"/>
      <c r="Z512" s="44"/>
      <c r="AA512" s="44"/>
      <c r="AB512" s="44"/>
      <c r="AC512" s="44"/>
      <c r="AD512" s="44"/>
      <c r="AE512" s="44"/>
      <c r="AF512" s="44"/>
      <c r="AG512" s="44"/>
      <c r="AH512" s="44"/>
      <c r="AI512" s="44"/>
      <c r="AJ512" s="44"/>
    </row>
    <row r="513" spans="2:36" x14ac:dyDescent="0.25">
      <c r="B513" s="68"/>
      <c r="C513" s="68"/>
      <c r="D513" s="70"/>
      <c r="E513" s="68"/>
      <c r="F513" s="68"/>
      <c r="G513" s="95" t="str">
        <f t="shared" si="7"/>
        <v/>
      </c>
      <c r="H513" s="91" t="str">
        <f>IF(E513&lt;&gt;"",E513/'Project Summary'!$C$9,"")</f>
        <v/>
      </c>
      <c r="I513" s="97" t="str">
        <f>IF(F513&lt;&gt;"",F513/'Project Summary'!$C$10, "")</f>
        <v/>
      </c>
      <c r="J513" s="68"/>
      <c r="K513" s="69"/>
      <c r="L513" s="102"/>
      <c r="M513" s="102"/>
      <c r="N513" s="68"/>
      <c r="O513" s="68"/>
      <c r="P513" s="106"/>
      <c r="Q513" s="107"/>
      <c r="R513" s="107"/>
      <c r="S513" s="107"/>
      <c r="T513" s="107"/>
      <c r="V513" s="44"/>
      <c r="W513" s="44"/>
      <c r="X513" s="44"/>
      <c r="Y513" s="44"/>
      <c r="Z513" s="44"/>
      <c r="AA513" s="44"/>
      <c r="AB513" s="44"/>
      <c r="AC513" s="44"/>
      <c r="AD513" s="44"/>
      <c r="AE513" s="44"/>
      <c r="AF513" s="44"/>
      <c r="AG513" s="44"/>
      <c r="AH513" s="44"/>
      <c r="AI513" s="44"/>
      <c r="AJ513" s="44"/>
    </row>
    <row r="514" spans="2:36" x14ac:dyDescent="0.25">
      <c r="B514" s="68"/>
      <c r="C514" s="68"/>
      <c r="D514" s="70"/>
      <c r="E514" s="68"/>
      <c r="F514" s="68"/>
      <c r="G514" s="95" t="str">
        <f t="shared" si="7"/>
        <v/>
      </c>
      <c r="H514" s="91" t="str">
        <f>IF(E514&lt;&gt;"",E514/'Project Summary'!$C$9,"")</f>
        <v/>
      </c>
      <c r="I514" s="97" t="str">
        <f>IF(F514&lt;&gt;"",F514/'Project Summary'!$C$10, "")</f>
        <v/>
      </c>
      <c r="J514" s="68"/>
      <c r="K514" s="69"/>
      <c r="L514" s="102"/>
      <c r="M514" s="102"/>
      <c r="N514" s="68"/>
      <c r="O514" s="68"/>
      <c r="P514" s="106"/>
      <c r="Q514" s="107"/>
      <c r="R514" s="107"/>
      <c r="S514" s="107"/>
      <c r="T514" s="107"/>
      <c r="V514" s="44"/>
      <c r="W514" s="44"/>
      <c r="X514" s="44"/>
      <c r="Y514" s="44"/>
      <c r="Z514" s="44"/>
      <c r="AA514" s="44"/>
      <c r="AB514" s="44"/>
      <c r="AC514" s="44"/>
      <c r="AD514" s="44"/>
      <c r="AE514" s="44"/>
      <c r="AF514" s="44"/>
      <c r="AG514" s="44"/>
      <c r="AH514" s="44"/>
      <c r="AI514" s="44"/>
      <c r="AJ514" s="44"/>
    </row>
    <row r="515" spans="2:36" x14ac:dyDescent="0.25">
      <c r="B515" s="68"/>
      <c r="C515" s="68"/>
      <c r="D515" s="70"/>
      <c r="E515" s="68"/>
      <c r="F515" s="68"/>
      <c r="G515" s="95" t="str">
        <f t="shared" si="7"/>
        <v/>
      </c>
      <c r="H515" s="91" t="str">
        <f>IF(E515&lt;&gt;"",E515/'Project Summary'!$C$9,"")</f>
        <v/>
      </c>
      <c r="I515" s="97" t="str">
        <f>IF(F515&lt;&gt;"",F515/'Project Summary'!$C$10, "")</f>
        <v/>
      </c>
      <c r="J515" s="68"/>
      <c r="K515" s="69"/>
      <c r="L515" s="102"/>
      <c r="M515" s="102"/>
      <c r="N515" s="68"/>
      <c r="O515" s="68"/>
      <c r="P515" s="106"/>
      <c r="Q515" s="107"/>
      <c r="R515" s="107"/>
      <c r="S515" s="107"/>
      <c r="T515" s="107"/>
      <c r="V515" s="44"/>
      <c r="W515" s="44"/>
      <c r="X515" s="44"/>
      <c r="Y515" s="44"/>
      <c r="Z515" s="44"/>
      <c r="AA515" s="44"/>
      <c r="AB515" s="44"/>
      <c r="AC515" s="44"/>
      <c r="AD515" s="44"/>
      <c r="AE515" s="44"/>
      <c r="AF515" s="44"/>
      <c r="AG515" s="44"/>
      <c r="AH515" s="44"/>
      <c r="AI515" s="44"/>
      <c r="AJ515" s="44"/>
    </row>
    <row r="516" spans="2:36" x14ac:dyDescent="0.25">
      <c r="B516" s="68"/>
      <c r="C516" s="68"/>
      <c r="D516" s="70"/>
      <c r="E516" s="68"/>
      <c r="F516" s="68"/>
      <c r="G516" s="95" t="str">
        <f t="shared" si="7"/>
        <v/>
      </c>
      <c r="H516" s="91" t="str">
        <f>IF(E516&lt;&gt;"",E516/'Project Summary'!$C$9,"")</f>
        <v/>
      </c>
      <c r="I516" s="97" t="str">
        <f>IF(F516&lt;&gt;"",F516/'Project Summary'!$C$10, "")</f>
        <v/>
      </c>
      <c r="J516" s="68"/>
      <c r="K516" s="69"/>
      <c r="L516" s="102"/>
      <c r="M516" s="102"/>
      <c r="N516" s="68"/>
      <c r="O516" s="68"/>
      <c r="P516" s="106"/>
      <c r="Q516" s="107"/>
      <c r="R516" s="107"/>
      <c r="S516" s="107"/>
      <c r="T516" s="107"/>
      <c r="V516" s="44"/>
      <c r="W516" s="44"/>
      <c r="X516" s="44"/>
      <c r="Y516" s="44"/>
      <c r="Z516" s="44"/>
      <c r="AA516" s="44"/>
      <c r="AB516" s="44"/>
      <c r="AC516" s="44"/>
      <c r="AD516" s="44"/>
      <c r="AE516" s="44"/>
      <c r="AF516" s="44"/>
      <c r="AG516" s="44"/>
      <c r="AH516" s="44"/>
      <c r="AI516" s="44"/>
      <c r="AJ516" s="44"/>
    </row>
    <row r="517" spans="2:36" x14ac:dyDescent="0.25">
      <c r="B517" s="68"/>
      <c r="C517" s="68"/>
      <c r="D517" s="70"/>
      <c r="E517" s="68"/>
      <c r="F517" s="68"/>
      <c r="G517" s="95" t="str">
        <f t="shared" si="7"/>
        <v/>
      </c>
      <c r="H517" s="91" t="str">
        <f>IF(E517&lt;&gt;"",E517/'Project Summary'!$C$9,"")</f>
        <v/>
      </c>
      <c r="I517" s="97" t="str">
        <f>IF(F517&lt;&gt;"",F517/'Project Summary'!$C$10, "")</f>
        <v/>
      </c>
      <c r="J517" s="68"/>
      <c r="K517" s="69"/>
      <c r="L517" s="102"/>
      <c r="M517" s="102"/>
      <c r="N517" s="68"/>
      <c r="O517" s="68"/>
      <c r="P517" s="106"/>
      <c r="Q517" s="107"/>
      <c r="R517" s="107"/>
      <c r="S517" s="107"/>
      <c r="T517" s="107"/>
      <c r="V517" s="44"/>
      <c r="W517" s="44"/>
      <c r="X517" s="44"/>
      <c r="Y517" s="44"/>
      <c r="Z517" s="44"/>
      <c r="AA517" s="44"/>
      <c r="AB517" s="44"/>
      <c r="AC517" s="44"/>
      <c r="AD517" s="44"/>
      <c r="AE517" s="44"/>
      <c r="AF517" s="44"/>
      <c r="AG517" s="44"/>
      <c r="AH517" s="44"/>
      <c r="AI517" s="44"/>
      <c r="AJ517" s="44"/>
    </row>
    <row r="518" spans="2:36" x14ac:dyDescent="0.25">
      <c r="B518" s="68"/>
      <c r="C518" s="68"/>
      <c r="D518" s="70"/>
      <c r="E518" s="68"/>
      <c r="F518" s="68"/>
      <c r="G518" s="95" t="str">
        <f t="shared" si="7"/>
        <v/>
      </c>
      <c r="H518" s="91" t="str">
        <f>IF(E518&lt;&gt;"",E518/'Project Summary'!$C$9,"")</f>
        <v/>
      </c>
      <c r="I518" s="97" t="str">
        <f>IF(F518&lt;&gt;"",F518/'Project Summary'!$C$10, "")</f>
        <v/>
      </c>
      <c r="J518" s="68"/>
      <c r="K518" s="69"/>
      <c r="L518" s="102"/>
      <c r="M518" s="102"/>
      <c r="N518" s="68"/>
      <c r="O518" s="68"/>
      <c r="P518" s="106"/>
      <c r="Q518" s="107"/>
      <c r="R518" s="107"/>
      <c r="S518" s="107"/>
      <c r="T518" s="107"/>
      <c r="V518" s="44"/>
      <c r="W518" s="44"/>
      <c r="X518" s="44"/>
      <c r="Y518" s="44"/>
      <c r="Z518" s="44"/>
      <c r="AA518" s="44"/>
      <c r="AB518" s="44"/>
      <c r="AC518" s="44"/>
      <c r="AD518" s="44"/>
      <c r="AE518" s="44"/>
      <c r="AF518" s="44"/>
      <c r="AG518" s="44"/>
      <c r="AH518" s="44"/>
      <c r="AI518" s="44"/>
      <c r="AJ518" s="44"/>
    </row>
    <row r="519" spans="2:36" x14ac:dyDescent="0.25">
      <c r="B519" s="68"/>
      <c r="C519" s="68"/>
      <c r="D519" s="70"/>
      <c r="E519" s="68"/>
      <c r="F519" s="68"/>
      <c r="G519" s="95" t="str">
        <f t="shared" si="7"/>
        <v/>
      </c>
      <c r="H519" s="91" t="str">
        <f>IF(E519&lt;&gt;"",E519/'Project Summary'!$C$9,"")</f>
        <v/>
      </c>
      <c r="I519" s="97" t="str">
        <f>IF(F519&lt;&gt;"",F519/'Project Summary'!$C$10, "")</f>
        <v/>
      </c>
      <c r="J519" s="68"/>
      <c r="K519" s="69"/>
      <c r="L519" s="102"/>
      <c r="M519" s="102"/>
      <c r="N519" s="68"/>
      <c r="O519" s="68"/>
      <c r="P519" s="106"/>
      <c r="Q519" s="107"/>
      <c r="R519" s="107"/>
      <c r="S519" s="107"/>
      <c r="T519" s="107"/>
      <c r="V519" s="44"/>
      <c r="W519" s="44"/>
      <c r="X519" s="44"/>
      <c r="Y519" s="44"/>
      <c r="Z519" s="44"/>
      <c r="AA519" s="44"/>
      <c r="AB519" s="44"/>
      <c r="AC519" s="44"/>
      <c r="AD519" s="44"/>
      <c r="AE519" s="44"/>
      <c r="AF519" s="44"/>
      <c r="AG519" s="44"/>
      <c r="AH519" s="44"/>
      <c r="AI519" s="44"/>
      <c r="AJ519" s="44"/>
    </row>
    <row r="520" spans="2:36" x14ac:dyDescent="0.25">
      <c r="B520" s="68"/>
      <c r="C520" s="68"/>
      <c r="D520" s="70"/>
      <c r="E520" s="68"/>
      <c r="F520" s="68"/>
      <c r="G520" s="95" t="str">
        <f t="shared" si="7"/>
        <v/>
      </c>
      <c r="H520" s="91" t="str">
        <f>IF(E520&lt;&gt;"",E520/'Project Summary'!$C$9,"")</f>
        <v/>
      </c>
      <c r="I520" s="97" t="str">
        <f>IF(F520&lt;&gt;"",F520/'Project Summary'!$C$10, "")</f>
        <v/>
      </c>
      <c r="J520" s="68"/>
      <c r="K520" s="69"/>
      <c r="L520" s="102"/>
      <c r="M520" s="102"/>
      <c r="N520" s="68"/>
      <c r="O520" s="68"/>
      <c r="P520" s="106"/>
      <c r="Q520" s="107"/>
      <c r="R520" s="107"/>
      <c r="S520" s="107"/>
      <c r="T520" s="107"/>
      <c r="V520" s="44"/>
      <c r="W520" s="44"/>
      <c r="X520" s="44"/>
      <c r="Y520" s="44"/>
      <c r="Z520" s="44"/>
      <c r="AA520" s="44"/>
      <c r="AB520" s="44"/>
      <c r="AC520" s="44"/>
      <c r="AD520" s="44"/>
      <c r="AE520" s="44"/>
      <c r="AF520" s="44"/>
      <c r="AG520" s="44"/>
      <c r="AH520" s="44"/>
      <c r="AI520" s="44"/>
      <c r="AJ520" s="44"/>
    </row>
    <row r="521" spans="2:36" x14ac:dyDescent="0.25">
      <c r="B521" s="68"/>
      <c r="C521" s="68"/>
      <c r="D521" s="70"/>
      <c r="E521" s="68"/>
      <c r="F521" s="68"/>
      <c r="G521" s="95" t="str">
        <f t="shared" si="7"/>
        <v/>
      </c>
      <c r="H521" s="91" t="str">
        <f>IF(E521&lt;&gt;"",E521/'Project Summary'!$C$9,"")</f>
        <v/>
      </c>
      <c r="I521" s="97" t="str">
        <f>IF(F521&lt;&gt;"",F521/'Project Summary'!$C$10, "")</f>
        <v/>
      </c>
      <c r="J521" s="68"/>
      <c r="K521" s="69"/>
      <c r="L521" s="102"/>
      <c r="M521" s="102"/>
      <c r="N521" s="68"/>
      <c r="O521" s="68"/>
      <c r="P521" s="106"/>
      <c r="Q521" s="107"/>
      <c r="R521" s="107"/>
      <c r="S521" s="107"/>
      <c r="T521" s="107"/>
      <c r="V521" s="44"/>
      <c r="W521" s="44"/>
      <c r="X521" s="44"/>
      <c r="Y521" s="44"/>
      <c r="Z521" s="44"/>
      <c r="AA521" s="44"/>
      <c r="AB521" s="44"/>
      <c r="AC521" s="44"/>
      <c r="AD521" s="44"/>
      <c r="AE521" s="44"/>
      <c r="AF521" s="44"/>
      <c r="AG521" s="44"/>
      <c r="AH521" s="44"/>
      <c r="AI521" s="44"/>
      <c r="AJ521" s="44"/>
    </row>
    <row r="522" spans="2:36" x14ac:dyDescent="0.25">
      <c r="B522" s="68"/>
      <c r="C522" s="68"/>
      <c r="D522" s="70"/>
      <c r="E522" s="68"/>
      <c r="F522" s="68"/>
      <c r="G522" s="95" t="str">
        <f t="shared" si="7"/>
        <v/>
      </c>
      <c r="H522" s="91" t="str">
        <f>IF(E522&lt;&gt;"",E522/'Project Summary'!$C$9,"")</f>
        <v/>
      </c>
      <c r="I522" s="97" t="str">
        <f>IF(F522&lt;&gt;"",F522/'Project Summary'!$C$10, "")</f>
        <v/>
      </c>
      <c r="J522" s="68"/>
      <c r="K522" s="69"/>
      <c r="L522" s="102"/>
      <c r="M522" s="102"/>
      <c r="N522" s="68"/>
      <c r="O522" s="68"/>
      <c r="P522" s="106"/>
      <c r="Q522" s="107"/>
      <c r="R522" s="107"/>
      <c r="S522" s="107"/>
      <c r="T522" s="107"/>
    </row>
    <row r="523" spans="2:36" x14ac:dyDescent="0.25">
      <c r="B523" s="68"/>
      <c r="C523" s="68"/>
      <c r="D523" s="70"/>
      <c r="E523" s="68"/>
      <c r="F523" s="68"/>
      <c r="G523" s="95" t="str">
        <f t="shared" si="7"/>
        <v/>
      </c>
      <c r="H523" s="91" t="str">
        <f>IF(E523&lt;&gt;"",E523/'Project Summary'!$C$9,"")</f>
        <v/>
      </c>
      <c r="I523" s="97" t="str">
        <f>IF(F523&lt;&gt;"",F523/'Project Summary'!$C$10, "")</f>
        <v/>
      </c>
      <c r="J523" s="68"/>
      <c r="K523" s="69"/>
      <c r="L523" s="102"/>
      <c r="M523" s="102"/>
      <c r="N523" s="68"/>
      <c r="O523" s="68"/>
      <c r="P523" s="106"/>
      <c r="Q523" s="107"/>
      <c r="R523" s="107"/>
      <c r="S523" s="107"/>
      <c r="T523" s="107"/>
    </row>
    <row r="524" spans="2:36" x14ac:dyDescent="0.25">
      <c r="B524" s="68"/>
      <c r="C524" s="68"/>
      <c r="D524" s="70"/>
      <c r="E524" s="68"/>
      <c r="F524" s="68"/>
      <c r="G524" s="95" t="str">
        <f t="shared" ref="G524:G587" si="8">IF(D524&lt;&gt;"", D524/E524, "")</f>
        <v/>
      </c>
      <c r="H524" s="91" t="str">
        <f>IF(E524&lt;&gt;"",E524/'Project Summary'!$C$9,"")</f>
        <v/>
      </c>
      <c r="I524" s="97" t="str">
        <f>IF(F524&lt;&gt;"",F524/'Project Summary'!$C$10, "")</f>
        <v/>
      </c>
      <c r="J524" s="68"/>
      <c r="K524" s="69"/>
      <c r="L524" s="102"/>
      <c r="M524" s="102"/>
      <c r="N524" s="68"/>
      <c r="O524" s="68"/>
      <c r="P524" s="106"/>
      <c r="Q524" s="107"/>
      <c r="R524" s="107"/>
      <c r="S524" s="107"/>
      <c r="T524" s="107"/>
    </row>
    <row r="525" spans="2:36" x14ac:dyDescent="0.25">
      <c r="B525" s="68"/>
      <c r="C525" s="68"/>
      <c r="D525" s="70"/>
      <c r="E525" s="68"/>
      <c r="F525" s="68"/>
      <c r="G525" s="95" t="str">
        <f t="shared" si="8"/>
        <v/>
      </c>
      <c r="H525" s="91" t="str">
        <f>IF(E525&lt;&gt;"",E525/'Project Summary'!$C$9,"")</f>
        <v/>
      </c>
      <c r="I525" s="97" t="str">
        <f>IF(F525&lt;&gt;"",F525/'Project Summary'!$C$10, "")</f>
        <v/>
      </c>
      <c r="J525" s="68"/>
      <c r="K525" s="69"/>
      <c r="L525" s="102"/>
      <c r="M525" s="102"/>
      <c r="N525" s="68"/>
      <c r="O525" s="68"/>
      <c r="P525" s="106"/>
      <c r="Q525" s="107"/>
      <c r="R525" s="107"/>
      <c r="S525" s="107"/>
      <c r="T525" s="107"/>
    </row>
    <row r="526" spans="2:36" x14ac:dyDescent="0.25">
      <c r="B526" s="68"/>
      <c r="C526" s="68"/>
      <c r="D526" s="70"/>
      <c r="E526" s="68"/>
      <c r="F526" s="68"/>
      <c r="G526" s="95" t="str">
        <f t="shared" si="8"/>
        <v/>
      </c>
      <c r="H526" s="91" t="str">
        <f>IF(E526&lt;&gt;"",E526/'Project Summary'!$C$9,"")</f>
        <v/>
      </c>
      <c r="I526" s="97" t="str">
        <f>IF(F526&lt;&gt;"",F526/'Project Summary'!$C$10, "")</f>
        <v/>
      </c>
      <c r="J526" s="68"/>
      <c r="K526" s="69"/>
      <c r="L526" s="102"/>
      <c r="M526" s="102"/>
      <c r="N526" s="68"/>
      <c r="O526" s="68"/>
      <c r="P526" s="106"/>
      <c r="Q526" s="107"/>
      <c r="R526" s="107"/>
      <c r="S526" s="107"/>
      <c r="T526" s="107"/>
    </row>
    <row r="527" spans="2:36" x14ac:dyDescent="0.25">
      <c r="B527" s="68"/>
      <c r="C527" s="68"/>
      <c r="D527" s="70"/>
      <c r="E527" s="68"/>
      <c r="F527" s="68"/>
      <c r="G527" s="95" t="str">
        <f t="shared" si="8"/>
        <v/>
      </c>
      <c r="H527" s="91" t="str">
        <f>IF(E527&lt;&gt;"",E527/'Project Summary'!$C$9,"")</f>
        <v/>
      </c>
      <c r="I527" s="97" t="str">
        <f>IF(F527&lt;&gt;"",F527/'Project Summary'!$C$10, "")</f>
        <v/>
      </c>
      <c r="J527" s="68"/>
      <c r="K527" s="69"/>
      <c r="L527" s="102"/>
      <c r="M527" s="102"/>
      <c r="N527" s="68"/>
      <c r="O527" s="68"/>
      <c r="P527" s="106"/>
      <c r="Q527" s="107"/>
      <c r="R527" s="107"/>
      <c r="S527" s="107"/>
      <c r="T527" s="107"/>
    </row>
    <row r="528" spans="2:36" x14ac:dyDescent="0.25">
      <c r="B528" s="68"/>
      <c r="C528" s="68"/>
      <c r="D528" s="70"/>
      <c r="E528" s="68"/>
      <c r="F528" s="68"/>
      <c r="G528" s="95" t="str">
        <f t="shared" si="8"/>
        <v/>
      </c>
      <c r="H528" s="91" t="str">
        <f>IF(E528&lt;&gt;"",E528/'Project Summary'!$C$9,"")</f>
        <v/>
      </c>
      <c r="I528" s="97" t="str">
        <f>IF(F528&lt;&gt;"",F528/'Project Summary'!$C$10, "")</f>
        <v/>
      </c>
      <c r="J528" s="68"/>
      <c r="K528" s="69"/>
      <c r="L528" s="102"/>
      <c r="M528" s="102"/>
      <c r="N528" s="68"/>
      <c r="O528" s="68"/>
      <c r="P528" s="106"/>
      <c r="Q528" s="107"/>
      <c r="R528" s="107"/>
      <c r="S528" s="107"/>
      <c r="T528" s="107"/>
    </row>
    <row r="529" spans="2:20" x14ac:dyDescent="0.25">
      <c r="B529" s="68"/>
      <c r="C529" s="68"/>
      <c r="D529" s="70"/>
      <c r="E529" s="68"/>
      <c r="F529" s="68"/>
      <c r="G529" s="95" t="str">
        <f t="shared" si="8"/>
        <v/>
      </c>
      <c r="H529" s="91" t="str">
        <f>IF(E529&lt;&gt;"",E529/'Project Summary'!$C$9,"")</f>
        <v/>
      </c>
      <c r="I529" s="97" t="str">
        <f>IF(F529&lt;&gt;"",F529/'Project Summary'!$C$10, "")</f>
        <v/>
      </c>
      <c r="J529" s="68"/>
      <c r="K529" s="69"/>
      <c r="L529" s="102"/>
      <c r="M529" s="102"/>
      <c r="N529" s="68"/>
      <c r="O529" s="68"/>
      <c r="P529" s="106"/>
      <c r="Q529" s="107"/>
      <c r="R529" s="107"/>
      <c r="S529" s="107"/>
      <c r="T529" s="107"/>
    </row>
    <row r="530" spans="2:20" x14ac:dyDescent="0.25">
      <c r="B530" s="68"/>
      <c r="C530" s="68"/>
      <c r="D530" s="70"/>
      <c r="E530" s="68"/>
      <c r="F530" s="68"/>
      <c r="G530" s="95" t="str">
        <f t="shared" si="8"/>
        <v/>
      </c>
      <c r="H530" s="91" t="str">
        <f>IF(E530&lt;&gt;"",E530/'Project Summary'!$C$9,"")</f>
        <v/>
      </c>
      <c r="I530" s="97" t="str">
        <f>IF(F530&lt;&gt;"",F530/'Project Summary'!$C$10, "")</f>
        <v/>
      </c>
      <c r="J530" s="68"/>
      <c r="K530" s="69"/>
      <c r="L530" s="102"/>
      <c r="M530" s="102"/>
      <c r="N530" s="68"/>
      <c r="O530" s="68"/>
      <c r="P530" s="106"/>
      <c r="Q530" s="107"/>
      <c r="R530" s="107"/>
      <c r="S530" s="107"/>
      <c r="T530" s="107"/>
    </row>
    <row r="531" spans="2:20" x14ac:dyDescent="0.25">
      <c r="B531" s="68"/>
      <c r="C531" s="68"/>
      <c r="D531" s="70"/>
      <c r="E531" s="68"/>
      <c r="F531" s="68"/>
      <c r="G531" s="95" t="str">
        <f t="shared" si="8"/>
        <v/>
      </c>
      <c r="H531" s="91" t="str">
        <f>IF(E531&lt;&gt;"",E531/'Project Summary'!$C$9,"")</f>
        <v/>
      </c>
      <c r="I531" s="97" t="str">
        <f>IF(F531&lt;&gt;"",F531/'Project Summary'!$C$10, "")</f>
        <v/>
      </c>
      <c r="J531" s="68"/>
      <c r="K531" s="69"/>
      <c r="L531" s="102"/>
      <c r="M531" s="102"/>
      <c r="N531" s="68"/>
      <c r="O531" s="68"/>
      <c r="P531" s="106"/>
      <c r="Q531" s="107"/>
      <c r="R531" s="107"/>
      <c r="S531" s="107"/>
      <c r="T531" s="107"/>
    </row>
    <row r="532" spans="2:20" x14ac:dyDescent="0.25">
      <c r="B532" s="68"/>
      <c r="C532" s="68"/>
      <c r="D532" s="70"/>
      <c r="E532" s="68"/>
      <c r="F532" s="68"/>
      <c r="G532" s="95" t="str">
        <f t="shared" si="8"/>
        <v/>
      </c>
      <c r="H532" s="91" t="str">
        <f>IF(E532&lt;&gt;"",E532/'Project Summary'!$C$9,"")</f>
        <v/>
      </c>
      <c r="I532" s="97" t="str">
        <f>IF(F532&lt;&gt;"",F532/'Project Summary'!$C$10, "")</f>
        <v/>
      </c>
      <c r="J532" s="68"/>
      <c r="K532" s="69"/>
      <c r="L532" s="102"/>
      <c r="M532" s="102"/>
      <c r="N532" s="68"/>
      <c r="O532" s="68"/>
      <c r="P532" s="106"/>
      <c r="Q532" s="107"/>
      <c r="R532" s="107"/>
      <c r="S532" s="107"/>
      <c r="T532" s="107"/>
    </row>
    <row r="533" spans="2:20" x14ac:dyDescent="0.25">
      <c r="B533" s="68"/>
      <c r="C533" s="68"/>
      <c r="D533" s="70"/>
      <c r="E533" s="68"/>
      <c r="F533" s="68"/>
      <c r="G533" s="95" t="str">
        <f t="shared" si="8"/>
        <v/>
      </c>
      <c r="H533" s="91" t="str">
        <f>IF(E533&lt;&gt;"",E533/'Project Summary'!$C$9,"")</f>
        <v/>
      </c>
      <c r="I533" s="97" t="str">
        <f>IF(F533&lt;&gt;"",F533/'Project Summary'!$C$10, "")</f>
        <v/>
      </c>
      <c r="J533" s="68"/>
      <c r="K533" s="69"/>
      <c r="L533" s="102"/>
      <c r="M533" s="102"/>
      <c r="N533" s="68"/>
      <c r="O533" s="68"/>
      <c r="P533" s="106"/>
      <c r="Q533" s="107"/>
      <c r="R533" s="107"/>
      <c r="S533" s="107"/>
      <c r="T533" s="107"/>
    </row>
    <row r="534" spans="2:20" x14ac:dyDescent="0.25">
      <c r="B534" s="68"/>
      <c r="C534" s="68"/>
      <c r="D534" s="70"/>
      <c r="E534" s="68"/>
      <c r="F534" s="68"/>
      <c r="G534" s="95" t="str">
        <f t="shared" si="8"/>
        <v/>
      </c>
      <c r="H534" s="91" t="str">
        <f>IF(E534&lt;&gt;"",E534/'Project Summary'!$C$9,"")</f>
        <v/>
      </c>
      <c r="I534" s="97" t="str">
        <f>IF(F534&lt;&gt;"",F534/'Project Summary'!$C$10, "")</f>
        <v/>
      </c>
      <c r="J534" s="68"/>
      <c r="K534" s="69"/>
      <c r="L534" s="102"/>
      <c r="M534" s="102"/>
      <c r="N534" s="68"/>
      <c r="O534" s="68"/>
      <c r="P534" s="106"/>
      <c r="Q534" s="107"/>
      <c r="R534" s="107"/>
      <c r="S534" s="107"/>
      <c r="T534" s="107"/>
    </row>
    <row r="535" spans="2:20" x14ac:dyDescent="0.25">
      <c r="B535" s="68"/>
      <c r="C535" s="68"/>
      <c r="D535" s="70"/>
      <c r="E535" s="68"/>
      <c r="F535" s="68"/>
      <c r="G535" s="95" t="str">
        <f t="shared" si="8"/>
        <v/>
      </c>
      <c r="H535" s="91" t="str">
        <f>IF(E535&lt;&gt;"",E535/'Project Summary'!$C$9,"")</f>
        <v/>
      </c>
      <c r="I535" s="97" t="str">
        <f>IF(F535&lt;&gt;"",F535/'Project Summary'!$C$10, "")</f>
        <v/>
      </c>
      <c r="J535" s="68"/>
      <c r="K535" s="69"/>
      <c r="L535" s="102"/>
      <c r="M535" s="102"/>
      <c r="N535" s="68"/>
      <c r="O535" s="68"/>
      <c r="P535" s="106"/>
      <c r="Q535" s="107"/>
      <c r="R535" s="107"/>
      <c r="S535" s="107"/>
      <c r="T535" s="107"/>
    </row>
    <row r="536" spans="2:20" x14ac:dyDescent="0.25">
      <c r="B536" s="68"/>
      <c r="C536" s="68"/>
      <c r="D536" s="70"/>
      <c r="E536" s="68"/>
      <c r="F536" s="68"/>
      <c r="G536" s="95" t="str">
        <f t="shared" si="8"/>
        <v/>
      </c>
      <c r="H536" s="91" t="str">
        <f>IF(E536&lt;&gt;"",E536/'Project Summary'!$C$9,"")</f>
        <v/>
      </c>
      <c r="I536" s="97" t="str">
        <f>IF(F536&lt;&gt;"",F536/'Project Summary'!$C$10, "")</f>
        <v/>
      </c>
      <c r="J536" s="68"/>
      <c r="K536" s="69"/>
      <c r="L536" s="102"/>
      <c r="M536" s="102"/>
      <c r="N536" s="68"/>
      <c r="O536" s="68"/>
      <c r="P536" s="106"/>
      <c r="Q536" s="107"/>
      <c r="R536" s="107"/>
      <c r="S536" s="107"/>
      <c r="T536" s="107"/>
    </row>
    <row r="537" spans="2:20" x14ac:dyDescent="0.25">
      <c r="B537" s="68"/>
      <c r="C537" s="68"/>
      <c r="D537" s="70"/>
      <c r="E537" s="68"/>
      <c r="F537" s="68"/>
      <c r="G537" s="95" t="str">
        <f t="shared" si="8"/>
        <v/>
      </c>
      <c r="H537" s="91" t="str">
        <f>IF(E537&lt;&gt;"",E537/'Project Summary'!$C$9,"")</f>
        <v/>
      </c>
      <c r="I537" s="97" t="str">
        <f>IF(F537&lt;&gt;"",F537/'Project Summary'!$C$10, "")</f>
        <v/>
      </c>
      <c r="J537" s="68"/>
      <c r="K537" s="69"/>
      <c r="L537" s="102"/>
      <c r="M537" s="102"/>
      <c r="N537" s="68"/>
      <c r="O537" s="68"/>
      <c r="P537" s="106"/>
      <c r="Q537" s="107"/>
      <c r="R537" s="107"/>
      <c r="S537" s="107"/>
      <c r="T537" s="107"/>
    </row>
    <row r="538" spans="2:20" x14ac:dyDescent="0.25">
      <c r="B538" s="68"/>
      <c r="C538" s="68"/>
      <c r="D538" s="70"/>
      <c r="E538" s="68"/>
      <c r="F538" s="68"/>
      <c r="G538" s="95" t="str">
        <f t="shared" si="8"/>
        <v/>
      </c>
      <c r="H538" s="91" t="str">
        <f>IF(E538&lt;&gt;"",E538/'Project Summary'!$C$9,"")</f>
        <v/>
      </c>
      <c r="I538" s="97" t="str">
        <f>IF(F538&lt;&gt;"",F538/'Project Summary'!$C$10, "")</f>
        <v/>
      </c>
      <c r="J538" s="68"/>
      <c r="K538" s="69"/>
      <c r="L538" s="102"/>
      <c r="M538" s="102"/>
      <c r="N538" s="68"/>
      <c r="O538" s="68"/>
      <c r="P538" s="106"/>
      <c r="Q538" s="107"/>
      <c r="R538" s="107"/>
      <c r="S538" s="107"/>
      <c r="T538" s="107"/>
    </row>
    <row r="539" spans="2:20" x14ac:dyDescent="0.25">
      <c r="B539" s="68"/>
      <c r="C539" s="68"/>
      <c r="D539" s="70"/>
      <c r="E539" s="68"/>
      <c r="F539" s="68"/>
      <c r="G539" s="95" t="str">
        <f t="shared" si="8"/>
        <v/>
      </c>
      <c r="H539" s="91" t="str">
        <f>IF(E539&lt;&gt;"",E539/'Project Summary'!$C$9,"")</f>
        <v/>
      </c>
      <c r="I539" s="97" t="str">
        <f>IF(F539&lt;&gt;"",F539/'Project Summary'!$C$10, "")</f>
        <v/>
      </c>
      <c r="J539" s="68"/>
      <c r="K539" s="69"/>
      <c r="L539" s="102"/>
      <c r="M539" s="102"/>
      <c r="N539" s="68"/>
      <c r="O539" s="68"/>
      <c r="P539" s="106"/>
      <c r="Q539" s="107"/>
      <c r="R539" s="107"/>
      <c r="S539" s="107"/>
      <c r="T539" s="107"/>
    </row>
    <row r="540" spans="2:20" x14ac:dyDescent="0.25">
      <c r="B540" s="68"/>
      <c r="C540" s="68"/>
      <c r="D540" s="70"/>
      <c r="E540" s="68"/>
      <c r="F540" s="68"/>
      <c r="G540" s="95" t="str">
        <f t="shared" si="8"/>
        <v/>
      </c>
      <c r="H540" s="91" t="str">
        <f>IF(E540&lt;&gt;"",E540/'Project Summary'!$C$9,"")</f>
        <v/>
      </c>
      <c r="I540" s="97" t="str">
        <f>IF(F540&lt;&gt;"",F540/'Project Summary'!$C$10, "")</f>
        <v/>
      </c>
      <c r="J540" s="68"/>
      <c r="K540" s="69"/>
      <c r="L540" s="102"/>
      <c r="M540" s="102"/>
      <c r="N540" s="68"/>
      <c r="O540" s="68"/>
      <c r="P540" s="106"/>
      <c r="Q540" s="107"/>
      <c r="R540" s="107"/>
      <c r="S540" s="107"/>
      <c r="T540" s="107"/>
    </row>
    <row r="541" spans="2:20" x14ac:dyDescent="0.25">
      <c r="B541" s="68"/>
      <c r="C541" s="68"/>
      <c r="D541" s="70"/>
      <c r="E541" s="68"/>
      <c r="F541" s="68"/>
      <c r="G541" s="95" t="str">
        <f t="shared" si="8"/>
        <v/>
      </c>
      <c r="H541" s="91" t="str">
        <f>IF(E541&lt;&gt;"",E541/'Project Summary'!$C$9,"")</f>
        <v/>
      </c>
      <c r="I541" s="97" t="str">
        <f>IF(F541&lt;&gt;"",F541/'Project Summary'!$C$10, "")</f>
        <v/>
      </c>
      <c r="J541" s="68"/>
      <c r="K541" s="69"/>
      <c r="L541" s="102"/>
      <c r="M541" s="102"/>
      <c r="N541" s="68"/>
      <c r="O541" s="68"/>
      <c r="P541" s="106"/>
      <c r="Q541" s="107"/>
      <c r="R541" s="107"/>
      <c r="S541" s="107"/>
      <c r="T541" s="107"/>
    </row>
    <row r="542" spans="2:20" x14ac:dyDescent="0.25">
      <c r="B542" s="68"/>
      <c r="C542" s="68"/>
      <c r="D542" s="70"/>
      <c r="E542" s="68"/>
      <c r="F542" s="68"/>
      <c r="G542" s="95" t="str">
        <f t="shared" si="8"/>
        <v/>
      </c>
      <c r="H542" s="91" t="str">
        <f>IF(E542&lt;&gt;"",E542/'Project Summary'!$C$9,"")</f>
        <v/>
      </c>
      <c r="I542" s="97" t="str">
        <f>IF(F542&lt;&gt;"",F542/'Project Summary'!$C$10, "")</f>
        <v/>
      </c>
      <c r="J542" s="68"/>
      <c r="K542" s="69"/>
      <c r="L542" s="102"/>
      <c r="M542" s="102"/>
      <c r="N542" s="68"/>
      <c r="O542" s="68"/>
      <c r="P542" s="106"/>
      <c r="Q542" s="107"/>
      <c r="R542" s="107"/>
      <c r="S542" s="107"/>
      <c r="T542" s="107"/>
    </row>
    <row r="543" spans="2:20" x14ac:dyDescent="0.25">
      <c r="B543" s="68"/>
      <c r="C543" s="68"/>
      <c r="D543" s="70"/>
      <c r="E543" s="68"/>
      <c r="F543" s="68"/>
      <c r="G543" s="95" t="str">
        <f t="shared" si="8"/>
        <v/>
      </c>
      <c r="H543" s="91" t="str">
        <f>IF(E543&lt;&gt;"",E543/'Project Summary'!$C$9,"")</f>
        <v/>
      </c>
      <c r="I543" s="97" t="str">
        <f>IF(F543&lt;&gt;"",F543/'Project Summary'!$C$10, "")</f>
        <v/>
      </c>
      <c r="J543" s="68"/>
      <c r="K543" s="69"/>
      <c r="L543" s="102"/>
      <c r="M543" s="102"/>
      <c r="N543" s="68"/>
      <c r="O543" s="68"/>
      <c r="P543" s="106"/>
      <c r="Q543" s="107"/>
      <c r="R543" s="107"/>
      <c r="S543" s="107"/>
      <c r="T543" s="107"/>
    </row>
    <row r="544" spans="2:20" x14ac:dyDescent="0.25">
      <c r="B544" s="68"/>
      <c r="C544" s="68"/>
      <c r="D544" s="70"/>
      <c r="E544" s="68"/>
      <c r="F544" s="68"/>
      <c r="G544" s="95" t="str">
        <f t="shared" si="8"/>
        <v/>
      </c>
      <c r="H544" s="91" t="str">
        <f>IF(E544&lt;&gt;"",E544/'Project Summary'!$C$9,"")</f>
        <v/>
      </c>
      <c r="I544" s="97" t="str">
        <f>IF(F544&lt;&gt;"",F544/'Project Summary'!$C$10, "")</f>
        <v/>
      </c>
      <c r="J544" s="68"/>
      <c r="K544" s="69"/>
      <c r="L544" s="102"/>
      <c r="M544" s="102"/>
      <c r="N544" s="68"/>
      <c r="O544" s="68"/>
      <c r="P544" s="106"/>
      <c r="Q544" s="107"/>
      <c r="R544" s="107"/>
      <c r="S544" s="107"/>
      <c r="T544" s="107"/>
    </row>
    <row r="545" spans="2:20" x14ac:dyDescent="0.25">
      <c r="B545" s="68"/>
      <c r="C545" s="68"/>
      <c r="D545" s="70"/>
      <c r="E545" s="68"/>
      <c r="F545" s="68"/>
      <c r="G545" s="95" t="str">
        <f t="shared" si="8"/>
        <v/>
      </c>
      <c r="H545" s="91" t="str">
        <f>IF(E545&lt;&gt;"",E545/'Project Summary'!$C$9,"")</f>
        <v/>
      </c>
      <c r="I545" s="97" t="str">
        <f>IF(F545&lt;&gt;"",F545/'Project Summary'!$C$10, "")</f>
        <v/>
      </c>
      <c r="J545" s="68"/>
      <c r="K545" s="69"/>
      <c r="L545" s="102"/>
      <c r="M545" s="102"/>
      <c r="N545" s="68"/>
      <c r="O545" s="68"/>
      <c r="P545" s="106"/>
      <c r="Q545" s="107"/>
      <c r="R545" s="107"/>
      <c r="S545" s="107"/>
      <c r="T545" s="107"/>
    </row>
    <row r="546" spans="2:20" x14ac:dyDescent="0.25">
      <c r="B546" s="68"/>
      <c r="C546" s="68"/>
      <c r="D546" s="70"/>
      <c r="E546" s="68"/>
      <c r="F546" s="68"/>
      <c r="G546" s="95" t="str">
        <f t="shared" si="8"/>
        <v/>
      </c>
      <c r="H546" s="91" t="str">
        <f>IF(E546&lt;&gt;"",E546/'Project Summary'!$C$9,"")</f>
        <v/>
      </c>
      <c r="I546" s="97" t="str">
        <f>IF(F546&lt;&gt;"",F546/'Project Summary'!$C$10, "")</f>
        <v/>
      </c>
      <c r="J546" s="68"/>
      <c r="K546" s="69"/>
      <c r="L546" s="102"/>
      <c r="M546" s="102"/>
      <c r="N546" s="68"/>
      <c r="O546" s="68"/>
      <c r="P546" s="106"/>
      <c r="Q546" s="107"/>
      <c r="R546" s="107"/>
      <c r="S546" s="107"/>
      <c r="T546" s="107"/>
    </row>
    <row r="547" spans="2:20" x14ac:dyDescent="0.25">
      <c r="B547" s="68"/>
      <c r="C547" s="68"/>
      <c r="D547" s="70"/>
      <c r="E547" s="68"/>
      <c r="F547" s="68"/>
      <c r="G547" s="95" t="str">
        <f t="shared" si="8"/>
        <v/>
      </c>
      <c r="H547" s="91" t="str">
        <f>IF(E547&lt;&gt;"",E547/'Project Summary'!$C$9,"")</f>
        <v/>
      </c>
      <c r="I547" s="97" t="str">
        <f>IF(F547&lt;&gt;"",F547/'Project Summary'!$C$10, "")</f>
        <v/>
      </c>
      <c r="J547" s="68"/>
      <c r="K547" s="69"/>
      <c r="L547" s="102"/>
      <c r="M547" s="102"/>
      <c r="N547" s="68"/>
      <c r="O547" s="68"/>
      <c r="P547" s="106"/>
      <c r="Q547" s="107"/>
      <c r="R547" s="107"/>
      <c r="S547" s="107"/>
      <c r="T547" s="107"/>
    </row>
    <row r="548" spans="2:20" x14ac:dyDescent="0.25">
      <c r="B548" s="68"/>
      <c r="C548" s="68"/>
      <c r="D548" s="70"/>
      <c r="E548" s="68"/>
      <c r="F548" s="68"/>
      <c r="G548" s="95" t="str">
        <f t="shared" si="8"/>
        <v/>
      </c>
      <c r="H548" s="91" t="str">
        <f>IF(E548&lt;&gt;"",E548/'Project Summary'!$C$9,"")</f>
        <v/>
      </c>
      <c r="I548" s="97" t="str">
        <f>IF(F548&lt;&gt;"",F548/'Project Summary'!$C$10, "")</f>
        <v/>
      </c>
      <c r="J548" s="68"/>
      <c r="K548" s="69"/>
      <c r="L548" s="102"/>
      <c r="M548" s="102"/>
      <c r="N548" s="68"/>
      <c r="O548" s="68"/>
      <c r="P548" s="106"/>
      <c r="Q548" s="107"/>
      <c r="R548" s="107"/>
      <c r="S548" s="107"/>
      <c r="T548" s="107"/>
    </row>
    <row r="549" spans="2:20" x14ac:dyDescent="0.25">
      <c r="B549" s="68"/>
      <c r="C549" s="68"/>
      <c r="D549" s="70"/>
      <c r="E549" s="68"/>
      <c r="F549" s="68"/>
      <c r="G549" s="95" t="str">
        <f t="shared" si="8"/>
        <v/>
      </c>
      <c r="H549" s="91" t="str">
        <f>IF(E549&lt;&gt;"",E549/'Project Summary'!$C$9,"")</f>
        <v/>
      </c>
      <c r="I549" s="97" t="str">
        <f>IF(F549&lt;&gt;"",F549/'Project Summary'!$C$10, "")</f>
        <v/>
      </c>
      <c r="J549" s="68"/>
      <c r="K549" s="69"/>
      <c r="L549" s="102"/>
      <c r="M549" s="102"/>
      <c r="N549" s="68"/>
      <c r="O549" s="68"/>
      <c r="P549" s="106"/>
      <c r="Q549" s="107"/>
      <c r="R549" s="107"/>
      <c r="S549" s="107"/>
      <c r="T549" s="107"/>
    </row>
    <row r="550" spans="2:20" x14ac:dyDescent="0.25">
      <c r="B550" s="68"/>
      <c r="C550" s="68"/>
      <c r="D550" s="70"/>
      <c r="E550" s="68"/>
      <c r="F550" s="68"/>
      <c r="G550" s="95" t="str">
        <f t="shared" si="8"/>
        <v/>
      </c>
      <c r="H550" s="91" t="str">
        <f>IF(E550&lt;&gt;"",E550/'Project Summary'!$C$9,"")</f>
        <v/>
      </c>
      <c r="I550" s="97" t="str">
        <f>IF(F550&lt;&gt;"",F550/'Project Summary'!$C$10, "")</f>
        <v/>
      </c>
      <c r="J550" s="68"/>
      <c r="K550" s="69"/>
      <c r="L550" s="102"/>
      <c r="M550" s="102"/>
      <c r="N550" s="68"/>
      <c r="O550" s="68"/>
      <c r="P550" s="106"/>
      <c r="Q550" s="107"/>
      <c r="R550" s="107"/>
      <c r="S550" s="107"/>
      <c r="T550" s="107"/>
    </row>
    <row r="551" spans="2:20" x14ac:dyDescent="0.25">
      <c r="B551" s="68"/>
      <c r="C551" s="68"/>
      <c r="D551" s="70"/>
      <c r="E551" s="68"/>
      <c r="F551" s="68"/>
      <c r="G551" s="95" t="str">
        <f t="shared" si="8"/>
        <v/>
      </c>
      <c r="H551" s="91" t="str">
        <f>IF(E551&lt;&gt;"",E551/'Project Summary'!$C$9,"")</f>
        <v/>
      </c>
      <c r="I551" s="97" t="str">
        <f>IF(F551&lt;&gt;"",F551/'Project Summary'!$C$10, "")</f>
        <v/>
      </c>
      <c r="J551" s="68"/>
      <c r="K551" s="69"/>
      <c r="L551" s="102"/>
      <c r="M551" s="102"/>
      <c r="N551" s="68"/>
      <c r="O551" s="68"/>
      <c r="P551" s="106"/>
      <c r="Q551" s="107"/>
      <c r="R551" s="107"/>
      <c r="S551" s="107"/>
      <c r="T551" s="107"/>
    </row>
    <row r="552" spans="2:20" x14ac:dyDescent="0.25">
      <c r="B552" s="68"/>
      <c r="C552" s="68"/>
      <c r="D552" s="70"/>
      <c r="E552" s="68"/>
      <c r="F552" s="68"/>
      <c r="G552" s="95" t="str">
        <f t="shared" si="8"/>
        <v/>
      </c>
      <c r="H552" s="91" t="str">
        <f>IF(E552&lt;&gt;"",E552/'Project Summary'!$C$9,"")</f>
        <v/>
      </c>
      <c r="I552" s="97" t="str">
        <f>IF(F552&lt;&gt;"",F552/'Project Summary'!$C$10, "")</f>
        <v/>
      </c>
      <c r="J552" s="68"/>
      <c r="K552" s="69"/>
      <c r="L552" s="102"/>
      <c r="M552" s="102"/>
      <c r="N552" s="68"/>
      <c r="O552" s="68"/>
      <c r="P552" s="106"/>
      <c r="Q552" s="107"/>
      <c r="R552" s="107"/>
      <c r="S552" s="107"/>
      <c r="T552" s="107"/>
    </row>
    <row r="553" spans="2:20" x14ac:dyDescent="0.25">
      <c r="B553" s="68"/>
      <c r="C553" s="68"/>
      <c r="D553" s="70"/>
      <c r="E553" s="68"/>
      <c r="F553" s="68"/>
      <c r="G553" s="95" t="str">
        <f t="shared" si="8"/>
        <v/>
      </c>
      <c r="H553" s="91" t="str">
        <f>IF(E553&lt;&gt;"",E553/'Project Summary'!$C$9,"")</f>
        <v/>
      </c>
      <c r="I553" s="97" t="str">
        <f>IF(F553&lt;&gt;"",F553/'Project Summary'!$C$10, "")</f>
        <v/>
      </c>
      <c r="J553" s="68"/>
      <c r="K553" s="69"/>
      <c r="L553" s="102"/>
      <c r="M553" s="102"/>
      <c r="N553" s="68"/>
      <c r="O553" s="68"/>
      <c r="P553" s="106"/>
      <c r="Q553" s="107"/>
      <c r="R553" s="107"/>
      <c r="S553" s="107"/>
      <c r="T553" s="107"/>
    </row>
    <row r="554" spans="2:20" x14ac:dyDescent="0.25">
      <c r="B554" s="68"/>
      <c r="C554" s="68"/>
      <c r="D554" s="70"/>
      <c r="E554" s="68"/>
      <c r="F554" s="68"/>
      <c r="G554" s="95" t="str">
        <f t="shared" si="8"/>
        <v/>
      </c>
      <c r="H554" s="91" t="str">
        <f>IF(E554&lt;&gt;"",E554/'Project Summary'!$C$9,"")</f>
        <v/>
      </c>
      <c r="I554" s="97" t="str">
        <f>IF(F554&lt;&gt;"",F554/'Project Summary'!$C$10, "")</f>
        <v/>
      </c>
      <c r="J554" s="68"/>
      <c r="K554" s="69"/>
      <c r="L554" s="102"/>
      <c r="M554" s="102"/>
      <c r="N554" s="68"/>
      <c r="O554" s="68"/>
      <c r="P554" s="106"/>
      <c r="Q554" s="107"/>
      <c r="R554" s="107"/>
      <c r="S554" s="107"/>
      <c r="T554" s="107"/>
    </row>
    <row r="555" spans="2:20" x14ac:dyDescent="0.25">
      <c r="B555" s="68"/>
      <c r="C555" s="68"/>
      <c r="D555" s="70"/>
      <c r="E555" s="68"/>
      <c r="F555" s="68"/>
      <c r="G555" s="95" t="str">
        <f t="shared" si="8"/>
        <v/>
      </c>
      <c r="H555" s="91" t="str">
        <f>IF(E555&lt;&gt;"",E555/'Project Summary'!$C$9,"")</f>
        <v/>
      </c>
      <c r="I555" s="97" t="str">
        <f>IF(F555&lt;&gt;"",F555/'Project Summary'!$C$10, "")</f>
        <v/>
      </c>
      <c r="J555" s="68"/>
      <c r="K555" s="69"/>
      <c r="L555" s="102"/>
      <c r="M555" s="102"/>
      <c r="N555" s="68"/>
      <c r="O555" s="68"/>
      <c r="P555" s="106"/>
      <c r="Q555" s="107"/>
      <c r="R555" s="107"/>
      <c r="S555" s="107"/>
      <c r="T555" s="107"/>
    </row>
    <row r="556" spans="2:20" x14ac:dyDescent="0.25">
      <c r="B556" s="68"/>
      <c r="C556" s="68"/>
      <c r="D556" s="70"/>
      <c r="E556" s="68"/>
      <c r="F556" s="68"/>
      <c r="G556" s="95" t="str">
        <f t="shared" si="8"/>
        <v/>
      </c>
      <c r="H556" s="91" t="str">
        <f>IF(E556&lt;&gt;"",E556/'Project Summary'!$C$9,"")</f>
        <v/>
      </c>
      <c r="I556" s="97" t="str">
        <f>IF(F556&lt;&gt;"",F556/'Project Summary'!$C$10, "")</f>
        <v/>
      </c>
      <c r="J556" s="68"/>
      <c r="K556" s="69"/>
      <c r="L556" s="102"/>
      <c r="M556" s="102"/>
      <c r="N556" s="68"/>
      <c r="O556" s="68"/>
      <c r="P556" s="106"/>
      <c r="Q556" s="107"/>
      <c r="R556" s="107"/>
      <c r="S556" s="107"/>
      <c r="T556" s="107"/>
    </row>
    <row r="557" spans="2:20" x14ac:dyDescent="0.25">
      <c r="B557" s="68"/>
      <c r="C557" s="68"/>
      <c r="D557" s="70"/>
      <c r="E557" s="68"/>
      <c r="F557" s="68"/>
      <c r="G557" s="95" t="str">
        <f t="shared" si="8"/>
        <v/>
      </c>
      <c r="H557" s="91" t="str">
        <f>IF(E557&lt;&gt;"",E557/'Project Summary'!$C$9,"")</f>
        <v/>
      </c>
      <c r="I557" s="97" t="str">
        <f>IF(F557&lt;&gt;"",F557/'Project Summary'!$C$10, "")</f>
        <v/>
      </c>
      <c r="J557" s="68"/>
      <c r="K557" s="69"/>
      <c r="L557" s="102"/>
      <c r="M557" s="102"/>
      <c r="N557" s="68"/>
      <c r="O557" s="68"/>
      <c r="P557" s="106"/>
      <c r="Q557" s="107"/>
      <c r="R557" s="107"/>
      <c r="S557" s="107"/>
      <c r="T557" s="107"/>
    </row>
    <row r="558" spans="2:20" x14ac:dyDescent="0.25">
      <c r="B558" s="68"/>
      <c r="C558" s="68"/>
      <c r="D558" s="70"/>
      <c r="E558" s="68"/>
      <c r="F558" s="68"/>
      <c r="G558" s="95" t="str">
        <f t="shared" si="8"/>
        <v/>
      </c>
      <c r="H558" s="91" t="str">
        <f>IF(E558&lt;&gt;"",E558/'Project Summary'!$C$9,"")</f>
        <v/>
      </c>
      <c r="I558" s="97" t="str">
        <f>IF(F558&lt;&gt;"",F558/'Project Summary'!$C$10, "")</f>
        <v/>
      </c>
      <c r="J558" s="68"/>
      <c r="K558" s="69"/>
      <c r="L558" s="102"/>
      <c r="M558" s="102"/>
      <c r="N558" s="68"/>
      <c r="O558" s="68"/>
      <c r="P558" s="106"/>
      <c r="Q558" s="107"/>
      <c r="R558" s="107"/>
      <c r="S558" s="107"/>
      <c r="T558" s="107"/>
    </row>
    <row r="559" spans="2:20" x14ac:dyDescent="0.25">
      <c r="B559" s="68"/>
      <c r="C559" s="68"/>
      <c r="D559" s="70"/>
      <c r="E559" s="68"/>
      <c r="F559" s="68"/>
      <c r="G559" s="95" t="str">
        <f t="shared" si="8"/>
        <v/>
      </c>
      <c r="H559" s="91" t="str">
        <f>IF(E559&lt;&gt;"",E559/'Project Summary'!$C$9,"")</f>
        <v/>
      </c>
      <c r="I559" s="97" t="str">
        <f>IF(F559&lt;&gt;"",F559/'Project Summary'!$C$10, "")</f>
        <v/>
      </c>
      <c r="J559" s="68"/>
      <c r="K559" s="69"/>
      <c r="L559" s="102"/>
      <c r="M559" s="102"/>
      <c r="N559" s="68"/>
      <c r="O559" s="68"/>
      <c r="P559" s="106"/>
      <c r="Q559" s="107"/>
      <c r="R559" s="107"/>
      <c r="S559" s="107"/>
      <c r="T559" s="107"/>
    </row>
    <row r="560" spans="2:20" x14ac:dyDescent="0.25">
      <c r="B560" s="68"/>
      <c r="C560" s="68"/>
      <c r="D560" s="70"/>
      <c r="E560" s="68"/>
      <c r="F560" s="68"/>
      <c r="G560" s="95" t="str">
        <f t="shared" si="8"/>
        <v/>
      </c>
      <c r="H560" s="91" t="str">
        <f>IF(E560&lt;&gt;"",E560/'Project Summary'!$C$9,"")</f>
        <v/>
      </c>
      <c r="I560" s="97" t="str">
        <f>IF(F560&lt;&gt;"",F560/'Project Summary'!$C$10, "")</f>
        <v/>
      </c>
      <c r="J560" s="68"/>
      <c r="K560" s="69"/>
      <c r="L560" s="102"/>
      <c r="M560" s="102"/>
      <c r="N560" s="68"/>
      <c r="O560" s="68"/>
      <c r="P560" s="106"/>
      <c r="Q560" s="107"/>
      <c r="R560" s="107"/>
      <c r="S560" s="107"/>
      <c r="T560" s="107"/>
    </row>
    <row r="561" spans="2:20" x14ac:dyDescent="0.25">
      <c r="B561" s="68"/>
      <c r="C561" s="68"/>
      <c r="D561" s="70"/>
      <c r="E561" s="68"/>
      <c r="F561" s="68"/>
      <c r="G561" s="95" t="str">
        <f t="shared" si="8"/>
        <v/>
      </c>
      <c r="H561" s="91" t="str">
        <f>IF(E561&lt;&gt;"",E561/'Project Summary'!$C$9,"")</f>
        <v/>
      </c>
      <c r="I561" s="97" t="str">
        <f>IF(F561&lt;&gt;"",F561/'Project Summary'!$C$10, "")</f>
        <v/>
      </c>
      <c r="J561" s="68"/>
      <c r="K561" s="69"/>
      <c r="L561" s="102"/>
      <c r="M561" s="102"/>
      <c r="N561" s="68"/>
      <c r="O561" s="68"/>
      <c r="P561" s="106"/>
      <c r="Q561" s="107"/>
      <c r="R561" s="107"/>
      <c r="S561" s="107"/>
      <c r="T561" s="107"/>
    </row>
    <row r="562" spans="2:20" x14ac:dyDescent="0.25">
      <c r="B562" s="68"/>
      <c r="C562" s="68"/>
      <c r="D562" s="70"/>
      <c r="E562" s="68"/>
      <c r="F562" s="68"/>
      <c r="G562" s="95" t="str">
        <f t="shared" si="8"/>
        <v/>
      </c>
      <c r="H562" s="91" t="str">
        <f>IF(E562&lt;&gt;"",E562/'Project Summary'!$C$9,"")</f>
        <v/>
      </c>
      <c r="I562" s="97" t="str">
        <f>IF(F562&lt;&gt;"",F562/'Project Summary'!$C$10, "")</f>
        <v/>
      </c>
      <c r="J562" s="68"/>
      <c r="K562" s="69"/>
      <c r="L562" s="102"/>
      <c r="M562" s="102"/>
      <c r="N562" s="68"/>
      <c r="O562" s="68"/>
      <c r="P562" s="106"/>
      <c r="Q562" s="107"/>
      <c r="R562" s="107"/>
      <c r="S562" s="107"/>
      <c r="T562" s="107"/>
    </row>
    <row r="563" spans="2:20" x14ac:dyDescent="0.25">
      <c r="B563" s="68"/>
      <c r="C563" s="68"/>
      <c r="D563" s="70"/>
      <c r="E563" s="68"/>
      <c r="F563" s="68"/>
      <c r="G563" s="95" t="str">
        <f t="shared" si="8"/>
        <v/>
      </c>
      <c r="H563" s="91" t="str">
        <f>IF(E563&lt;&gt;"",E563/'Project Summary'!$C$9,"")</f>
        <v/>
      </c>
      <c r="I563" s="97" t="str">
        <f>IF(F563&lt;&gt;"",F563/'Project Summary'!$C$10, "")</f>
        <v/>
      </c>
      <c r="J563" s="68"/>
      <c r="K563" s="69"/>
      <c r="L563" s="102"/>
      <c r="M563" s="102"/>
      <c r="N563" s="68"/>
      <c r="O563" s="68"/>
      <c r="P563" s="106"/>
      <c r="Q563" s="107"/>
      <c r="R563" s="107"/>
      <c r="S563" s="107"/>
      <c r="T563" s="107"/>
    </row>
    <row r="564" spans="2:20" x14ac:dyDescent="0.25">
      <c r="B564" s="68"/>
      <c r="C564" s="68"/>
      <c r="D564" s="70"/>
      <c r="E564" s="68"/>
      <c r="F564" s="68"/>
      <c r="G564" s="95" t="str">
        <f t="shared" si="8"/>
        <v/>
      </c>
      <c r="H564" s="91" t="str">
        <f>IF(E564&lt;&gt;"",E564/'Project Summary'!$C$9,"")</f>
        <v/>
      </c>
      <c r="I564" s="97" t="str">
        <f>IF(F564&lt;&gt;"",F564/'Project Summary'!$C$10, "")</f>
        <v/>
      </c>
      <c r="J564" s="68"/>
      <c r="K564" s="69"/>
      <c r="L564" s="102"/>
      <c r="M564" s="102"/>
      <c r="N564" s="68"/>
      <c r="O564" s="68"/>
      <c r="P564" s="106"/>
      <c r="Q564" s="107"/>
      <c r="R564" s="107"/>
      <c r="S564" s="107"/>
      <c r="T564" s="107"/>
    </row>
    <row r="565" spans="2:20" x14ac:dyDescent="0.25">
      <c r="B565" s="68"/>
      <c r="C565" s="68"/>
      <c r="D565" s="70"/>
      <c r="E565" s="68"/>
      <c r="F565" s="68"/>
      <c r="G565" s="95" t="str">
        <f t="shared" si="8"/>
        <v/>
      </c>
      <c r="H565" s="91" t="str">
        <f>IF(E565&lt;&gt;"",E565/'Project Summary'!$C$9,"")</f>
        <v/>
      </c>
      <c r="I565" s="97" t="str">
        <f>IF(F565&lt;&gt;"",F565/'Project Summary'!$C$10, "")</f>
        <v/>
      </c>
      <c r="J565" s="68"/>
      <c r="K565" s="69"/>
      <c r="L565" s="102"/>
      <c r="M565" s="102"/>
      <c r="N565" s="68"/>
      <c r="O565" s="68"/>
      <c r="P565" s="106"/>
      <c r="Q565" s="107"/>
      <c r="R565" s="107"/>
      <c r="S565" s="107"/>
      <c r="T565" s="107"/>
    </row>
    <row r="566" spans="2:20" x14ac:dyDescent="0.25">
      <c r="B566" s="68"/>
      <c r="C566" s="68"/>
      <c r="D566" s="70"/>
      <c r="E566" s="68"/>
      <c r="F566" s="68"/>
      <c r="G566" s="95" t="str">
        <f t="shared" si="8"/>
        <v/>
      </c>
      <c r="H566" s="91" t="str">
        <f>IF(E566&lt;&gt;"",E566/'Project Summary'!$C$9,"")</f>
        <v/>
      </c>
      <c r="I566" s="97" t="str">
        <f>IF(F566&lt;&gt;"",F566/'Project Summary'!$C$10, "")</f>
        <v/>
      </c>
      <c r="J566" s="68"/>
      <c r="K566" s="69"/>
      <c r="L566" s="102"/>
      <c r="M566" s="102"/>
      <c r="N566" s="68"/>
      <c r="O566" s="68"/>
      <c r="P566" s="106"/>
      <c r="Q566" s="107"/>
      <c r="R566" s="107"/>
      <c r="S566" s="107"/>
      <c r="T566" s="107"/>
    </row>
    <row r="567" spans="2:20" x14ac:dyDescent="0.25">
      <c r="B567" s="68"/>
      <c r="C567" s="68"/>
      <c r="D567" s="70"/>
      <c r="E567" s="68"/>
      <c r="F567" s="68"/>
      <c r="G567" s="95" t="str">
        <f t="shared" si="8"/>
        <v/>
      </c>
      <c r="H567" s="91" t="str">
        <f>IF(E567&lt;&gt;"",E567/'Project Summary'!$C$9,"")</f>
        <v/>
      </c>
      <c r="I567" s="97" t="str">
        <f>IF(F567&lt;&gt;"",F567/'Project Summary'!$C$10, "")</f>
        <v/>
      </c>
      <c r="J567" s="68"/>
      <c r="K567" s="69"/>
      <c r="L567" s="102"/>
      <c r="M567" s="102"/>
      <c r="N567" s="68"/>
      <c r="O567" s="68"/>
      <c r="P567" s="106"/>
      <c r="Q567" s="107"/>
      <c r="R567" s="107"/>
      <c r="S567" s="107"/>
      <c r="T567" s="107"/>
    </row>
    <row r="568" spans="2:20" x14ac:dyDescent="0.25">
      <c r="B568" s="68"/>
      <c r="C568" s="68"/>
      <c r="D568" s="70"/>
      <c r="E568" s="68"/>
      <c r="F568" s="68"/>
      <c r="G568" s="95" t="str">
        <f t="shared" si="8"/>
        <v/>
      </c>
      <c r="H568" s="91" t="str">
        <f>IF(E568&lt;&gt;"",E568/'Project Summary'!$C$9,"")</f>
        <v/>
      </c>
      <c r="I568" s="97" t="str">
        <f>IF(F568&lt;&gt;"",F568/'Project Summary'!$C$10, "")</f>
        <v/>
      </c>
      <c r="J568" s="68"/>
      <c r="K568" s="69"/>
      <c r="L568" s="102"/>
      <c r="M568" s="102"/>
      <c r="N568" s="68"/>
      <c r="O568" s="68"/>
      <c r="P568" s="106"/>
      <c r="Q568" s="107"/>
      <c r="R568" s="107"/>
      <c r="S568" s="107"/>
      <c r="T568" s="107"/>
    </row>
    <row r="569" spans="2:20" x14ac:dyDescent="0.25">
      <c r="B569" s="68"/>
      <c r="C569" s="68"/>
      <c r="D569" s="70"/>
      <c r="E569" s="68"/>
      <c r="F569" s="68"/>
      <c r="G569" s="95" t="str">
        <f t="shared" si="8"/>
        <v/>
      </c>
      <c r="H569" s="91" t="str">
        <f>IF(E569&lt;&gt;"",E569/'Project Summary'!$C$9,"")</f>
        <v/>
      </c>
      <c r="I569" s="97" t="str">
        <f>IF(F569&lt;&gt;"",F569/'Project Summary'!$C$10, "")</f>
        <v/>
      </c>
      <c r="J569" s="68"/>
      <c r="K569" s="69"/>
      <c r="L569" s="102"/>
      <c r="M569" s="102"/>
      <c r="N569" s="68"/>
      <c r="O569" s="68"/>
      <c r="P569" s="106"/>
      <c r="Q569" s="107"/>
      <c r="R569" s="107"/>
      <c r="S569" s="107"/>
      <c r="T569" s="107"/>
    </row>
    <row r="570" spans="2:20" x14ac:dyDescent="0.25">
      <c r="B570" s="68"/>
      <c r="C570" s="68"/>
      <c r="D570" s="70"/>
      <c r="E570" s="68"/>
      <c r="F570" s="68"/>
      <c r="G570" s="95" t="str">
        <f t="shared" si="8"/>
        <v/>
      </c>
      <c r="H570" s="91" t="str">
        <f>IF(E570&lt;&gt;"",E570/'Project Summary'!$C$9,"")</f>
        <v/>
      </c>
      <c r="I570" s="97" t="str">
        <f>IF(F570&lt;&gt;"",F570/'Project Summary'!$C$10, "")</f>
        <v/>
      </c>
      <c r="J570" s="68"/>
      <c r="K570" s="69"/>
      <c r="L570" s="102"/>
      <c r="M570" s="102"/>
      <c r="N570" s="68"/>
      <c r="O570" s="68"/>
      <c r="P570" s="106"/>
      <c r="Q570" s="107"/>
      <c r="R570" s="107"/>
      <c r="S570" s="107"/>
      <c r="T570" s="107"/>
    </row>
    <row r="571" spans="2:20" x14ac:dyDescent="0.25">
      <c r="B571" s="68"/>
      <c r="C571" s="68"/>
      <c r="D571" s="70"/>
      <c r="E571" s="68"/>
      <c r="F571" s="68"/>
      <c r="G571" s="95" t="str">
        <f t="shared" si="8"/>
        <v/>
      </c>
      <c r="H571" s="91" t="str">
        <f>IF(E571&lt;&gt;"",E571/'Project Summary'!$C$9,"")</f>
        <v/>
      </c>
      <c r="I571" s="97" t="str">
        <f>IF(F571&lt;&gt;"",F571/'Project Summary'!$C$10, "")</f>
        <v/>
      </c>
      <c r="J571" s="68"/>
      <c r="K571" s="69"/>
      <c r="L571" s="102"/>
      <c r="M571" s="102"/>
      <c r="N571" s="68"/>
      <c r="O571" s="68"/>
      <c r="P571" s="106"/>
      <c r="Q571" s="107"/>
      <c r="R571" s="107"/>
      <c r="S571" s="107"/>
      <c r="T571" s="107"/>
    </row>
    <row r="572" spans="2:20" x14ac:dyDescent="0.25">
      <c r="B572" s="68"/>
      <c r="C572" s="68"/>
      <c r="D572" s="70"/>
      <c r="E572" s="68"/>
      <c r="F572" s="68"/>
      <c r="G572" s="95" t="str">
        <f t="shared" si="8"/>
        <v/>
      </c>
      <c r="H572" s="91" t="str">
        <f>IF(E572&lt;&gt;"",E572/'Project Summary'!$C$9,"")</f>
        <v/>
      </c>
      <c r="I572" s="97" t="str">
        <f>IF(F572&lt;&gt;"",F572/'Project Summary'!$C$10, "")</f>
        <v/>
      </c>
      <c r="J572" s="68"/>
      <c r="K572" s="69"/>
      <c r="L572" s="102"/>
      <c r="M572" s="102"/>
      <c r="N572" s="68"/>
      <c r="O572" s="68"/>
      <c r="P572" s="106"/>
      <c r="Q572" s="107"/>
      <c r="R572" s="107"/>
      <c r="S572" s="107"/>
      <c r="T572" s="107"/>
    </row>
    <row r="573" spans="2:20" x14ac:dyDescent="0.25">
      <c r="B573" s="68"/>
      <c r="C573" s="68"/>
      <c r="D573" s="70"/>
      <c r="E573" s="68"/>
      <c r="F573" s="68"/>
      <c r="G573" s="95" t="str">
        <f t="shared" si="8"/>
        <v/>
      </c>
      <c r="H573" s="91" t="str">
        <f>IF(E573&lt;&gt;"",E573/'Project Summary'!$C$9,"")</f>
        <v/>
      </c>
      <c r="I573" s="97" t="str">
        <f>IF(F573&lt;&gt;"",F573/'Project Summary'!$C$10, "")</f>
        <v/>
      </c>
      <c r="J573" s="68"/>
      <c r="K573" s="69"/>
      <c r="L573" s="102"/>
      <c r="M573" s="102"/>
      <c r="N573" s="68"/>
      <c r="O573" s="68"/>
      <c r="P573" s="106"/>
      <c r="Q573" s="107"/>
      <c r="R573" s="107"/>
      <c r="S573" s="107"/>
      <c r="T573" s="107"/>
    </row>
    <row r="574" spans="2:20" x14ac:dyDescent="0.25">
      <c r="B574" s="68"/>
      <c r="C574" s="68"/>
      <c r="D574" s="70"/>
      <c r="E574" s="68"/>
      <c r="F574" s="68"/>
      <c r="G574" s="95" t="str">
        <f t="shared" si="8"/>
        <v/>
      </c>
      <c r="H574" s="91" t="str">
        <f>IF(E574&lt;&gt;"",E574/'Project Summary'!$C$9,"")</f>
        <v/>
      </c>
      <c r="I574" s="97" t="str">
        <f>IF(F574&lt;&gt;"",F574/'Project Summary'!$C$10, "")</f>
        <v/>
      </c>
      <c r="J574" s="68"/>
      <c r="K574" s="69"/>
      <c r="L574" s="102"/>
      <c r="M574" s="102"/>
      <c r="N574" s="68"/>
      <c r="O574" s="68"/>
      <c r="P574" s="106"/>
      <c r="Q574" s="107"/>
      <c r="R574" s="107"/>
      <c r="S574" s="107"/>
      <c r="T574" s="107"/>
    </row>
    <row r="575" spans="2:20" x14ac:dyDescent="0.25">
      <c r="B575" s="68"/>
      <c r="C575" s="68"/>
      <c r="D575" s="70"/>
      <c r="E575" s="68"/>
      <c r="F575" s="68"/>
      <c r="G575" s="95" t="str">
        <f t="shared" si="8"/>
        <v/>
      </c>
      <c r="H575" s="91" t="str">
        <f>IF(E575&lt;&gt;"",E575/'Project Summary'!$C$9,"")</f>
        <v/>
      </c>
      <c r="I575" s="97" t="str">
        <f>IF(F575&lt;&gt;"",F575/'Project Summary'!$C$10, "")</f>
        <v/>
      </c>
      <c r="J575" s="68"/>
      <c r="K575" s="69"/>
      <c r="L575" s="102"/>
      <c r="M575" s="102"/>
      <c r="N575" s="68"/>
      <c r="O575" s="68"/>
      <c r="P575" s="106"/>
      <c r="Q575" s="107"/>
      <c r="R575" s="107"/>
      <c r="S575" s="107"/>
      <c r="T575" s="107"/>
    </row>
    <row r="576" spans="2:20" x14ac:dyDescent="0.25">
      <c r="B576" s="68"/>
      <c r="C576" s="68"/>
      <c r="D576" s="70"/>
      <c r="E576" s="68"/>
      <c r="F576" s="68"/>
      <c r="G576" s="95" t="str">
        <f t="shared" si="8"/>
        <v/>
      </c>
      <c r="H576" s="91" t="str">
        <f>IF(E576&lt;&gt;"",E576/'Project Summary'!$C$9,"")</f>
        <v/>
      </c>
      <c r="I576" s="97" t="str">
        <f>IF(F576&lt;&gt;"",F576/'Project Summary'!$C$10, "")</f>
        <v/>
      </c>
      <c r="J576" s="68"/>
      <c r="K576" s="69"/>
      <c r="L576" s="102"/>
      <c r="M576" s="102"/>
      <c r="N576" s="68"/>
      <c r="O576" s="68"/>
      <c r="P576" s="106"/>
      <c r="Q576" s="107"/>
      <c r="R576" s="107"/>
      <c r="S576" s="107"/>
      <c r="T576" s="107"/>
    </row>
    <row r="577" spans="2:20" x14ac:dyDescent="0.25">
      <c r="B577" s="68"/>
      <c r="C577" s="68"/>
      <c r="D577" s="70"/>
      <c r="E577" s="68"/>
      <c r="F577" s="68"/>
      <c r="G577" s="95" t="str">
        <f t="shared" si="8"/>
        <v/>
      </c>
      <c r="H577" s="91" t="str">
        <f>IF(E577&lt;&gt;"",E577/'Project Summary'!$C$9,"")</f>
        <v/>
      </c>
      <c r="I577" s="97" t="str">
        <f>IF(F577&lt;&gt;"",F577/'Project Summary'!$C$10, "")</f>
        <v/>
      </c>
      <c r="J577" s="68"/>
      <c r="K577" s="69"/>
      <c r="L577" s="102"/>
      <c r="M577" s="102"/>
      <c r="N577" s="68"/>
      <c r="O577" s="68"/>
      <c r="P577" s="106"/>
      <c r="Q577" s="107"/>
      <c r="R577" s="107"/>
      <c r="S577" s="107"/>
      <c r="T577" s="107"/>
    </row>
    <row r="578" spans="2:20" x14ac:dyDescent="0.25">
      <c r="B578" s="68"/>
      <c r="C578" s="68"/>
      <c r="D578" s="70"/>
      <c r="E578" s="68"/>
      <c r="F578" s="68"/>
      <c r="G578" s="95" t="str">
        <f t="shared" si="8"/>
        <v/>
      </c>
      <c r="H578" s="91" t="str">
        <f>IF(E578&lt;&gt;"",E578/'Project Summary'!$C$9,"")</f>
        <v/>
      </c>
      <c r="I578" s="97" t="str">
        <f>IF(F578&lt;&gt;"",F578/'Project Summary'!$C$10, "")</f>
        <v/>
      </c>
      <c r="J578" s="68"/>
      <c r="K578" s="69"/>
      <c r="L578" s="102"/>
      <c r="M578" s="102"/>
      <c r="N578" s="68"/>
      <c r="O578" s="68"/>
      <c r="P578" s="106"/>
      <c r="Q578" s="107"/>
      <c r="R578" s="107"/>
      <c r="S578" s="107"/>
      <c r="T578" s="107"/>
    </row>
    <row r="579" spans="2:20" x14ac:dyDescent="0.25">
      <c r="B579" s="68"/>
      <c r="C579" s="68"/>
      <c r="D579" s="70"/>
      <c r="E579" s="68"/>
      <c r="F579" s="68"/>
      <c r="G579" s="95" t="str">
        <f t="shared" si="8"/>
        <v/>
      </c>
      <c r="H579" s="91" t="str">
        <f>IF(E579&lt;&gt;"",E579/'Project Summary'!$C$9,"")</f>
        <v/>
      </c>
      <c r="I579" s="97" t="str">
        <f>IF(F579&lt;&gt;"",F579/'Project Summary'!$C$10, "")</f>
        <v/>
      </c>
      <c r="J579" s="68"/>
      <c r="K579" s="69"/>
      <c r="L579" s="102"/>
      <c r="M579" s="102"/>
      <c r="N579" s="68"/>
      <c r="O579" s="68"/>
      <c r="P579" s="106"/>
      <c r="Q579" s="107"/>
      <c r="R579" s="107"/>
      <c r="S579" s="107"/>
      <c r="T579" s="107"/>
    </row>
    <row r="580" spans="2:20" x14ac:dyDescent="0.25">
      <c r="B580" s="68"/>
      <c r="C580" s="68"/>
      <c r="D580" s="70"/>
      <c r="E580" s="68"/>
      <c r="F580" s="68"/>
      <c r="G580" s="95" t="str">
        <f t="shared" si="8"/>
        <v/>
      </c>
      <c r="H580" s="91" t="str">
        <f>IF(E580&lt;&gt;"",E580/'Project Summary'!$C$9,"")</f>
        <v/>
      </c>
      <c r="I580" s="97" t="str">
        <f>IF(F580&lt;&gt;"",F580/'Project Summary'!$C$10, "")</f>
        <v/>
      </c>
      <c r="J580" s="68"/>
      <c r="K580" s="69"/>
      <c r="L580" s="102"/>
      <c r="M580" s="102"/>
      <c r="N580" s="68"/>
      <c r="O580" s="68"/>
      <c r="P580" s="106"/>
      <c r="Q580" s="107"/>
      <c r="R580" s="107"/>
      <c r="S580" s="107"/>
      <c r="T580" s="107"/>
    </row>
    <row r="581" spans="2:20" x14ac:dyDescent="0.25">
      <c r="B581" s="68"/>
      <c r="C581" s="68"/>
      <c r="D581" s="70"/>
      <c r="E581" s="68"/>
      <c r="F581" s="68"/>
      <c r="G581" s="95" t="str">
        <f t="shared" si="8"/>
        <v/>
      </c>
      <c r="H581" s="91" t="str">
        <f>IF(E581&lt;&gt;"",E581/'Project Summary'!$C$9,"")</f>
        <v/>
      </c>
      <c r="I581" s="97" t="str">
        <f>IF(F581&lt;&gt;"",F581/'Project Summary'!$C$10, "")</f>
        <v/>
      </c>
      <c r="J581" s="68"/>
      <c r="K581" s="69"/>
      <c r="L581" s="102"/>
      <c r="M581" s="102"/>
      <c r="N581" s="68"/>
      <c r="O581" s="68"/>
      <c r="P581" s="106"/>
      <c r="Q581" s="107"/>
      <c r="R581" s="107"/>
      <c r="S581" s="107"/>
      <c r="T581" s="107"/>
    </row>
    <row r="582" spans="2:20" x14ac:dyDescent="0.25">
      <c r="B582" s="68"/>
      <c r="C582" s="68"/>
      <c r="D582" s="70"/>
      <c r="E582" s="68"/>
      <c r="F582" s="68"/>
      <c r="G582" s="95" t="str">
        <f t="shared" si="8"/>
        <v/>
      </c>
      <c r="H582" s="91" t="str">
        <f>IF(E582&lt;&gt;"",E582/'Project Summary'!$C$9,"")</f>
        <v/>
      </c>
      <c r="I582" s="97" t="str">
        <f>IF(F582&lt;&gt;"",F582/'Project Summary'!$C$10, "")</f>
        <v/>
      </c>
      <c r="J582" s="68"/>
      <c r="K582" s="69"/>
      <c r="L582" s="102"/>
      <c r="M582" s="102"/>
      <c r="N582" s="68"/>
      <c r="O582" s="68"/>
      <c r="P582" s="106"/>
      <c r="Q582" s="107"/>
      <c r="R582" s="107"/>
      <c r="S582" s="107"/>
      <c r="T582" s="107"/>
    </row>
    <row r="583" spans="2:20" x14ac:dyDescent="0.25">
      <c r="B583" s="68"/>
      <c r="C583" s="68"/>
      <c r="D583" s="70"/>
      <c r="E583" s="68"/>
      <c r="F583" s="68"/>
      <c r="G583" s="95" t="str">
        <f t="shared" si="8"/>
        <v/>
      </c>
      <c r="H583" s="91" t="str">
        <f>IF(E583&lt;&gt;"",E583/'Project Summary'!$C$9,"")</f>
        <v/>
      </c>
      <c r="I583" s="97" t="str">
        <f>IF(F583&lt;&gt;"",F583/'Project Summary'!$C$10, "")</f>
        <v/>
      </c>
      <c r="J583" s="68"/>
      <c r="K583" s="69"/>
      <c r="L583" s="102"/>
      <c r="M583" s="102"/>
      <c r="N583" s="68"/>
      <c r="O583" s="68"/>
      <c r="P583" s="106"/>
      <c r="Q583" s="107"/>
      <c r="R583" s="107"/>
      <c r="S583" s="107"/>
      <c r="T583" s="107"/>
    </row>
    <row r="584" spans="2:20" x14ac:dyDescent="0.25">
      <c r="B584" s="68"/>
      <c r="C584" s="68"/>
      <c r="D584" s="70"/>
      <c r="E584" s="68"/>
      <c r="F584" s="68"/>
      <c r="G584" s="95" t="str">
        <f t="shared" si="8"/>
        <v/>
      </c>
      <c r="H584" s="91" t="str">
        <f>IF(E584&lt;&gt;"",E584/'Project Summary'!$C$9,"")</f>
        <v/>
      </c>
      <c r="I584" s="97" t="str">
        <f>IF(F584&lt;&gt;"",F584/'Project Summary'!$C$10, "")</f>
        <v/>
      </c>
      <c r="J584" s="68"/>
      <c r="K584" s="69"/>
      <c r="L584" s="102"/>
      <c r="M584" s="102"/>
      <c r="N584" s="68"/>
      <c r="O584" s="68"/>
      <c r="P584" s="106"/>
      <c r="Q584" s="107"/>
      <c r="R584" s="107"/>
      <c r="S584" s="107"/>
      <c r="T584" s="107"/>
    </row>
    <row r="585" spans="2:20" x14ac:dyDescent="0.25">
      <c r="B585" s="68"/>
      <c r="C585" s="68"/>
      <c r="D585" s="70"/>
      <c r="E585" s="68"/>
      <c r="F585" s="68"/>
      <c r="G585" s="95" t="str">
        <f t="shared" si="8"/>
        <v/>
      </c>
      <c r="H585" s="91" t="str">
        <f>IF(E585&lt;&gt;"",E585/'Project Summary'!$C$9,"")</f>
        <v/>
      </c>
      <c r="I585" s="97" t="str">
        <f>IF(F585&lt;&gt;"",F585/'Project Summary'!$C$10, "")</f>
        <v/>
      </c>
      <c r="J585" s="68"/>
      <c r="K585" s="69"/>
      <c r="L585" s="102"/>
      <c r="M585" s="102"/>
      <c r="N585" s="68"/>
      <c r="O585" s="68"/>
      <c r="P585" s="106"/>
      <c r="Q585" s="107"/>
      <c r="R585" s="107"/>
      <c r="S585" s="107"/>
      <c r="T585" s="107"/>
    </row>
    <row r="586" spans="2:20" x14ac:dyDescent="0.25">
      <c r="B586" s="68"/>
      <c r="C586" s="68"/>
      <c r="D586" s="70"/>
      <c r="E586" s="68"/>
      <c r="F586" s="68"/>
      <c r="G586" s="95" t="str">
        <f t="shared" si="8"/>
        <v/>
      </c>
      <c r="H586" s="91" t="str">
        <f>IF(E586&lt;&gt;"",E586/'Project Summary'!$C$9,"")</f>
        <v/>
      </c>
      <c r="I586" s="97" t="str">
        <f>IF(F586&lt;&gt;"",F586/'Project Summary'!$C$10, "")</f>
        <v/>
      </c>
      <c r="J586" s="68"/>
      <c r="K586" s="69"/>
      <c r="L586" s="102"/>
      <c r="M586" s="102"/>
      <c r="N586" s="68"/>
      <c r="O586" s="68"/>
      <c r="P586" s="106"/>
      <c r="Q586" s="107"/>
      <c r="R586" s="107"/>
      <c r="S586" s="107"/>
      <c r="T586" s="107"/>
    </row>
    <row r="587" spans="2:20" x14ac:dyDescent="0.25">
      <c r="B587" s="68"/>
      <c r="C587" s="68"/>
      <c r="D587" s="70"/>
      <c r="E587" s="68"/>
      <c r="F587" s="68"/>
      <c r="G587" s="95" t="str">
        <f t="shared" si="8"/>
        <v/>
      </c>
      <c r="H587" s="91" t="str">
        <f>IF(E587&lt;&gt;"",E587/'Project Summary'!$C$9,"")</f>
        <v/>
      </c>
      <c r="I587" s="97" t="str">
        <f>IF(F587&lt;&gt;"",F587/'Project Summary'!$C$10, "")</f>
        <v/>
      </c>
      <c r="J587" s="68"/>
      <c r="K587" s="69"/>
      <c r="L587" s="102"/>
      <c r="M587" s="102"/>
      <c r="N587" s="68"/>
      <c r="O587" s="68"/>
      <c r="P587" s="106"/>
      <c r="Q587" s="107"/>
      <c r="R587" s="107"/>
      <c r="S587" s="107"/>
      <c r="T587" s="107"/>
    </row>
    <row r="588" spans="2:20" x14ac:dyDescent="0.25">
      <c r="B588" s="68"/>
      <c r="C588" s="68"/>
      <c r="D588" s="70"/>
      <c r="E588" s="68"/>
      <c r="F588" s="68"/>
      <c r="G588" s="95" t="str">
        <f t="shared" ref="G588:G651" si="9">IF(D588&lt;&gt;"", D588/E588, "")</f>
        <v/>
      </c>
      <c r="H588" s="91" t="str">
        <f>IF(E588&lt;&gt;"",E588/'Project Summary'!$C$9,"")</f>
        <v/>
      </c>
      <c r="I588" s="97" t="str">
        <f>IF(F588&lt;&gt;"",F588/'Project Summary'!$C$10, "")</f>
        <v/>
      </c>
      <c r="J588" s="68"/>
      <c r="K588" s="69"/>
      <c r="L588" s="102"/>
      <c r="M588" s="102"/>
      <c r="N588" s="68"/>
      <c r="O588" s="68"/>
      <c r="P588" s="106"/>
      <c r="Q588" s="107"/>
      <c r="R588" s="107"/>
      <c r="S588" s="107"/>
      <c r="T588" s="107"/>
    </row>
    <row r="589" spans="2:20" x14ac:dyDescent="0.25">
      <c r="B589" s="68"/>
      <c r="C589" s="68"/>
      <c r="D589" s="70"/>
      <c r="E589" s="68"/>
      <c r="F589" s="68"/>
      <c r="G589" s="95" t="str">
        <f t="shared" si="9"/>
        <v/>
      </c>
      <c r="H589" s="91" t="str">
        <f>IF(E589&lt;&gt;"",E589/'Project Summary'!$C$9,"")</f>
        <v/>
      </c>
      <c r="I589" s="97" t="str">
        <f>IF(F589&lt;&gt;"",F589/'Project Summary'!$C$10, "")</f>
        <v/>
      </c>
      <c r="J589" s="68"/>
      <c r="K589" s="69"/>
      <c r="L589" s="102"/>
      <c r="M589" s="102"/>
      <c r="N589" s="68"/>
      <c r="O589" s="68"/>
      <c r="P589" s="106"/>
      <c r="Q589" s="107"/>
      <c r="R589" s="107"/>
      <c r="S589" s="107"/>
      <c r="T589" s="107"/>
    </row>
    <row r="590" spans="2:20" x14ac:dyDescent="0.25">
      <c r="B590" s="68"/>
      <c r="C590" s="68"/>
      <c r="D590" s="70"/>
      <c r="E590" s="68"/>
      <c r="F590" s="68"/>
      <c r="G590" s="95" t="str">
        <f t="shared" si="9"/>
        <v/>
      </c>
      <c r="H590" s="91" t="str">
        <f>IF(E590&lt;&gt;"",E590/'Project Summary'!$C$9,"")</f>
        <v/>
      </c>
      <c r="I590" s="97" t="str">
        <f>IF(F590&lt;&gt;"",F590/'Project Summary'!$C$10, "")</f>
        <v/>
      </c>
      <c r="J590" s="68"/>
      <c r="K590" s="69"/>
      <c r="L590" s="102"/>
      <c r="M590" s="102"/>
      <c r="N590" s="68"/>
      <c r="O590" s="68"/>
      <c r="P590" s="106"/>
      <c r="Q590" s="107"/>
      <c r="R590" s="107"/>
      <c r="S590" s="107"/>
      <c r="T590" s="107"/>
    </row>
    <row r="591" spans="2:20" x14ac:dyDescent="0.25">
      <c r="B591" s="68"/>
      <c r="C591" s="68"/>
      <c r="D591" s="70"/>
      <c r="E591" s="68"/>
      <c r="F591" s="68"/>
      <c r="G591" s="95" t="str">
        <f t="shared" si="9"/>
        <v/>
      </c>
      <c r="H591" s="91" t="str">
        <f>IF(E591&lt;&gt;"",E591/'Project Summary'!$C$9,"")</f>
        <v/>
      </c>
      <c r="I591" s="97" t="str">
        <f>IF(F591&lt;&gt;"",F591/'Project Summary'!$C$10, "")</f>
        <v/>
      </c>
      <c r="J591" s="68"/>
      <c r="K591" s="69"/>
      <c r="L591" s="102"/>
      <c r="M591" s="102"/>
      <c r="N591" s="68"/>
      <c r="O591" s="68"/>
      <c r="P591" s="106"/>
      <c r="Q591" s="107"/>
      <c r="R591" s="107"/>
      <c r="S591" s="107"/>
      <c r="T591" s="107"/>
    </row>
    <row r="592" spans="2:20" x14ac:dyDescent="0.25">
      <c r="B592" s="68"/>
      <c r="C592" s="68"/>
      <c r="D592" s="70"/>
      <c r="E592" s="68"/>
      <c r="F592" s="68"/>
      <c r="G592" s="95" t="str">
        <f t="shared" si="9"/>
        <v/>
      </c>
      <c r="H592" s="91" t="str">
        <f>IF(E592&lt;&gt;"",E592/'Project Summary'!$C$9,"")</f>
        <v/>
      </c>
      <c r="I592" s="97" t="str">
        <f>IF(F592&lt;&gt;"",F592/'Project Summary'!$C$10, "")</f>
        <v/>
      </c>
      <c r="J592" s="68"/>
      <c r="K592" s="69"/>
      <c r="L592" s="102"/>
      <c r="M592" s="102"/>
      <c r="N592" s="68"/>
      <c r="O592" s="68"/>
      <c r="P592" s="106"/>
      <c r="Q592" s="107"/>
      <c r="R592" s="107"/>
      <c r="S592" s="107"/>
      <c r="T592" s="107"/>
    </row>
    <row r="593" spans="2:20" x14ac:dyDescent="0.25">
      <c r="B593" s="68"/>
      <c r="C593" s="68"/>
      <c r="D593" s="70"/>
      <c r="E593" s="68"/>
      <c r="F593" s="68"/>
      <c r="G593" s="95" t="str">
        <f t="shared" si="9"/>
        <v/>
      </c>
      <c r="H593" s="91" t="str">
        <f>IF(E593&lt;&gt;"",E593/'Project Summary'!$C$9,"")</f>
        <v/>
      </c>
      <c r="I593" s="97" t="str">
        <f>IF(F593&lt;&gt;"",F593/'Project Summary'!$C$10, "")</f>
        <v/>
      </c>
      <c r="J593" s="68"/>
      <c r="K593" s="69"/>
      <c r="L593" s="102"/>
      <c r="M593" s="102"/>
      <c r="N593" s="68"/>
      <c r="O593" s="68"/>
      <c r="P593" s="106"/>
      <c r="Q593" s="107"/>
      <c r="R593" s="107"/>
      <c r="S593" s="107"/>
      <c r="T593" s="107"/>
    </row>
    <row r="594" spans="2:20" x14ac:dyDescent="0.25">
      <c r="B594" s="68"/>
      <c r="C594" s="68"/>
      <c r="D594" s="70"/>
      <c r="E594" s="68"/>
      <c r="F594" s="68"/>
      <c r="G594" s="95" t="str">
        <f t="shared" si="9"/>
        <v/>
      </c>
      <c r="H594" s="91" t="str">
        <f>IF(E594&lt;&gt;"",E594/'Project Summary'!$C$9,"")</f>
        <v/>
      </c>
      <c r="I594" s="97" t="str">
        <f>IF(F594&lt;&gt;"",F594/'Project Summary'!$C$10, "")</f>
        <v/>
      </c>
      <c r="J594" s="68"/>
      <c r="K594" s="69"/>
      <c r="L594" s="102"/>
      <c r="M594" s="102"/>
      <c r="N594" s="68"/>
      <c r="O594" s="68"/>
      <c r="P594" s="106"/>
      <c r="Q594" s="107"/>
      <c r="R594" s="107"/>
      <c r="S594" s="107"/>
      <c r="T594" s="107"/>
    </row>
    <row r="595" spans="2:20" x14ac:dyDescent="0.25">
      <c r="B595" s="68"/>
      <c r="C595" s="68"/>
      <c r="D595" s="70"/>
      <c r="E595" s="68"/>
      <c r="F595" s="68"/>
      <c r="G595" s="95" t="str">
        <f t="shared" si="9"/>
        <v/>
      </c>
      <c r="H595" s="91" t="str">
        <f>IF(E595&lt;&gt;"",E595/'Project Summary'!$C$9,"")</f>
        <v/>
      </c>
      <c r="I595" s="97" t="str">
        <f>IF(F595&lt;&gt;"",F595/'Project Summary'!$C$10, "")</f>
        <v/>
      </c>
      <c r="J595" s="68"/>
      <c r="K595" s="69"/>
      <c r="L595" s="102"/>
      <c r="M595" s="102"/>
      <c r="N595" s="68"/>
      <c r="O595" s="68"/>
      <c r="P595" s="106"/>
      <c r="Q595" s="107"/>
      <c r="R595" s="107"/>
      <c r="S595" s="107"/>
      <c r="T595" s="107"/>
    </row>
    <row r="596" spans="2:20" x14ac:dyDescent="0.25">
      <c r="B596" s="68"/>
      <c r="C596" s="68"/>
      <c r="D596" s="70"/>
      <c r="E596" s="68"/>
      <c r="F596" s="68"/>
      <c r="G596" s="95" t="str">
        <f t="shared" si="9"/>
        <v/>
      </c>
      <c r="H596" s="91" t="str">
        <f>IF(E596&lt;&gt;"",E596/'Project Summary'!$C$9,"")</f>
        <v/>
      </c>
      <c r="I596" s="97" t="str">
        <f>IF(F596&lt;&gt;"",F596/'Project Summary'!$C$10, "")</f>
        <v/>
      </c>
      <c r="J596" s="68"/>
      <c r="K596" s="69"/>
      <c r="L596" s="102"/>
      <c r="M596" s="102"/>
      <c r="N596" s="68"/>
      <c r="O596" s="68"/>
      <c r="P596" s="106"/>
      <c r="Q596" s="107"/>
      <c r="R596" s="107"/>
      <c r="S596" s="107"/>
      <c r="T596" s="107"/>
    </row>
    <row r="597" spans="2:20" x14ac:dyDescent="0.25">
      <c r="B597" s="68"/>
      <c r="C597" s="68"/>
      <c r="D597" s="70"/>
      <c r="E597" s="68"/>
      <c r="F597" s="68"/>
      <c r="G597" s="95" t="str">
        <f t="shared" si="9"/>
        <v/>
      </c>
      <c r="H597" s="91" t="str">
        <f>IF(E597&lt;&gt;"",E597/'Project Summary'!$C$9,"")</f>
        <v/>
      </c>
      <c r="I597" s="97" t="str">
        <f>IF(F597&lt;&gt;"",F597/'Project Summary'!$C$10, "")</f>
        <v/>
      </c>
      <c r="J597" s="68"/>
      <c r="K597" s="69"/>
      <c r="L597" s="102"/>
      <c r="M597" s="102"/>
      <c r="N597" s="68"/>
      <c r="O597" s="68"/>
      <c r="P597" s="106"/>
      <c r="Q597" s="107"/>
      <c r="R597" s="107"/>
      <c r="S597" s="107"/>
      <c r="T597" s="107"/>
    </row>
    <row r="598" spans="2:20" x14ac:dyDescent="0.25">
      <c r="B598" s="68"/>
      <c r="C598" s="68"/>
      <c r="D598" s="70"/>
      <c r="E598" s="68"/>
      <c r="F598" s="68"/>
      <c r="G598" s="95" t="str">
        <f t="shared" si="9"/>
        <v/>
      </c>
      <c r="H598" s="91" t="str">
        <f>IF(E598&lt;&gt;"",E598/'Project Summary'!$C$9,"")</f>
        <v/>
      </c>
      <c r="I598" s="97" t="str">
        <f>IF(F598&lt;&gt;"",F598/'Project Summary'!$C$10, "")</f>
        <v/>
      </c>
      <c r="J598" s="68"/>
      <c r="K598" s="69"/>
      <c r="L598" s="102"/>
      <c r="M598" s="102"/>
      <c r="N598" s="68"/>
      <c r="O598" s="68"/>
      <c r="P598" s="106"/>
      <c r="Q598" s="107"/>
      <c r="R598" s="107"/>
      <c r="S598" s="107"/>
      <c r="T598" s="107"/>
    </row>
    <row r="599" spans="2:20" x14ac:dyDescent="0.25">
      <c r="B599" s="68"/>
      <c r="C599" s="68"/>
      <c r="D599" s="70"/>
      <c r="E599" s="68"/>
      <c r="F599" s="68"/>
      <c r="G599" s="95" t="str">
        <f t="shared" si="9"/>
        <v/>
      </c>
      <c r="H599" s="91" t="str">
        <f>IF(E599&lt;&gt;"",E599/'Project Summary'!$C$9,"")</f>
        <v/>
      </c>
      <c r="I599" s="97" t="str">
        <f>IF(F599&lt;&gt;"",F599/'Project Summary'!$C$10, "")</f>
        <v/>
      </c>
      <c r="J599" s="68"/>
      <c r="K599" s="69"/>
      <c r="L599" s="102"/>
      <c r="M599" s="102"/>
      <c r="N599" s="68"/>
      <c r="O599" s="68"/>
      <c r="P599" s="106"/>
      <c r="Q599" s="107"/>
      <c r="R599" s="107"/>
      <c r="S599" s="107"/>
      <c r="T599" s="107"/>
    </row>
    <row r="600" spans="2:20" x14ac:dyDescent="0.25">
      <c r="B600" s="68"/>
      <c r="C600" s="68"/>
      <c r="D600" s="70"/>
      <c r="E600" s="68"/>
      <c r="F600" s="68"/>
      <c r="G600" s="95" t="str">
        <f t="shared" si="9"/>
        <v/>
      </c>
      <c r="H600" s="91" t="str">
        <f>IF(E600&lt;&gt;"",E600/'Project Summary'!$C$9,"")</f>
        <v/>
      </c>
      <c r="I600" s="97" t="str">
        <f>IF(F600&lt;&gt;"",F600/'Project Summary'!$C$10, "")</f>
        <v/>
      </c>
      <c r="J600" s="68"/>
      <c r="K600" s="69"/>
      <c r="L600" s="102"/>
      <c r="M600" s="102"/>
      <c r="N600" s="68"/>
      <c r="O600" s="68"/>
      <c r="P600" s="106"/>
      <c r="Q600" s="107"/>
      <c r="R600" s="107"/>
      <c r="S600" s="107"/>
      <c r="T600" s="107"/>
    </row>
    <row r="601" spans="2:20" x14ac:dyDescent="0.25">
      <c r="B601" s="68"/>
      <c r="C601" s="68"/>
      <c r="D601" s="70"/>
      <c r="E601" s="68"/>
      <c r="F601" s="68"/>
      <c r="G601" s="95" t="str">
        <f t="shared" si="9"/>
        <v/>
      </c>
      <c r="H601" s="91" t="str">
        <f>IF(E601&lt;&gt;"",E601/'Project Summary'!$C$9,"")</f>
        <v/>
      </c>
      <c r="I601" s="97" t="str">
        <f>IF(F601&lt;&gt;"",F601/'Project Summary'!$C$10, "")</f>
        <v/>
      </c>
      <c r="J601" s="68"/>
      <c r="K601" s="69"/>
      <c r="L601" s="102"/>
      <c r="M601" s="102"/>
      <c r="N601" s="68"/>
      <c r="O601" s="68"/>
      <c r="P601" s="106"/>
      <c r="Q601" s="107"/>
      <c r="R601" s="107"/>
      <c r="S601" s="107"/>
      <c r="T601" s="107"/>
    </row>
    <row r="602" spans="2:20" x14ac:dyDescent="0.25">
      <c r="B602" s="68"/>
      <c r="C602" s="68"/>
      <c r="D602" s="70"/>
      <c r="E602" s="68"/>
      <c r="F602" s="68"/>
      <c r="G602" s="95" t="str">
        <f t="shared" si="9"/>
        <v/>
      </c>
      <c r="H602" s="91" t="str">
        <f>IF(E602&lt;&gt;"",E602/'Project Summary'!$C$9,"")</f>
        <v/>
      </c>
      <c r="I602" s="97" t="str">
        <f>IF(F602&lt;&gt;"",F602/'Project Summary'!$C$10, "")</f>
        <v/>
      </c>
      <c r="J602" s="68"/>
      <c r="K602" s="69"/>
      <c r="L602" s="102"/>
      <c r="M602" s="102"/>
      <c r="N602" s="68"/>
      <c r="O602" s="68"/>
      <c r="P602" s="106"/>
      <c r="Q602" s="107"/>
      <c r="R602" s="107"/>
      <c r="S602" s="107"/>
      <c r="T602" s="107"/>
    </row>
    <row r="603" spans="2:20" x14ac:dyDescent="0.25">
      <c r="B603" s="68"/>
      <c r="C603" s="68"/>
      <c r="D603" s="70"/>
      <c r="E603" s="68"/>
      <c r="F603" s="68"/>
      <c r="G603" s="95" t="str">
        <f t="shared" si="9"/>
        <v/>
      </c>
      <c r="H603" s="91" t="str">
        <f>IF(E603&lt;&gt;"",E603/'Project Summary'!$C$9,"")</f>
        <v/>
      </c>
      <c r="I603" s="97" t="str">
        <f>IF(F603&lt;&gt;"",F603/'Project Summary'!$C$10, "")</f>
        <v/>
      </c>
      <c r="J603" s="68"/>
      <c r="K603" s="69"/>
      <c r="L603" s="102"/>
      <c r="M603" s="102"/>
      <c r="N603" s="68"/>
      <c r="O603" s="68"/>
      <c r="P603" s="106"/>
      <c r="Q603" s="107"/>
      <c r="R603" s="107"/>
      <c r="S603" s="107"/>
      <c r="T603" s="107"/>
    </row>
    <row r="604" spans="2:20" x14ac:dyDescent="0.25">
      <c r="B604" s="68"/>
      <c r="C604" s="68"/>
      <c r="D604" s="70"/>
      <c r="E604" s="68"/>
      <c r="F604" s="68"/>
      <c r="G604" s="95" t="str">
        <f t="shared" si="9"/>
        <v/>
      </c>
      <c r="H604" s="91" t="str">
        <f>IF(E604&lt;&gt;"",E604/'Project Summary'!$C$9,"")</f>
        <v/>
      </c>
      <c r="I604" s="97" t="str">
        <f>IF(F604&lt;&gt;"",F604/'Project Summary'!$C$10, "")</f>
        <v/>
      </c>
      <c r="J604" s="68"/>
      <c r="K604" s="69"/>
      <c r="L604" s="102"/>
      <c r="M604" s="102"/>
      <c r="N604" s="68"/>
      <c r="O604" s="68"/>
      <c r="P604" s="106"/>
      <c r="Q604" s="107"/>
      <c r="R604" s="107"/>
      <c r="S604" s="107"/>
      <c r="T604" s="107"/>
    </row>
    <row r="605" spans="2:20" x14ac:dyDescent="0.25">
      <c r="B605" s="68"/>
      <c r="C605" s="68"/>
      <c r="D605" s="70"/>
      <c r="E605" s="68"/>
      <c r="F605" s="68"/>
      <c r="G605" s="95" t="str">
        <f t="shared" si="9"/>
        <v/>
      </c>
      <c r="H605" s="91" t="str">
        <f>IF(E605&lt;&gt;"",E605/'Project Summary'!$C$9,"")</f>
        <v/>
      </c>
      <c r="I605" s="97" t="str">
        <f>IF(F605&lt;&gt;"",F605/'Project Summary'!$C$10, "")</f>
        <v/>
      </c>
      <c r="J605" s="68"/>
      <c r="K605" s="69"/>
      <c r="L605" s="102"/>
      <c r="M605" s="102"/>
      <c r="N605" s="68"/>
      <c r="O605" s="68"/>
      <c r="P605" s="106"/>
      <c r="Q605" s="107"/>
      <c r="R605" s="107"/>
      <c r="S605" s="107"/>
      <c r="T605" s="107"/>
    </row>
    <row r="606" spans="2:20" x14ac:dyDescent="0.25">
      <c r="B606" s="68"/>
      <c r="C606" s="68"/>
      <c r="D606" s="70"/>
      <c r="E606" s="68"/>
      <c r="F606" s="68"/>
      <c r="G606" s="95" t="str">
        <f t="shared" si="9"/>
        <v/>
      </c>
      <c r="H606" s="91" t="str">
        <f>IF(E606&lt;&gt;"",E606/'Project Summary'!$C$9,"")</f>
        <v/>
      </c>
      <c r="I606" s="97" t="str">
        <f>IF(F606&lt;&gt;"",F606/'Project Summary'!$C$10, "")</f>
        <v/>
      </c>
      <c r="J606" s="68"/>
      <c r="K606" s="69"/>
      <c r="L606" s="102"/>
      <c r="M606" s="102"/>
      <c r="N606" s="68"/>
      <c r="O606" s="68"/>
      <c r="P606" s="106"/>
      <c r="Q606" s="107"/>
      <c r="R606" s="107"/>
      <c r="S606" s="107"/>
      <c r="T606" s="107"/>
    </row>
    <row r="607" spans="2:20" x14ac:dyDescent="0.25">
      <c r="B607" s="68"/>
      <c r="C607" s="68"/>
      <c r="D607" s="70"/>
      <c r="E607" s="68"/>
      <c r="F607" s="68"/>
      <c r="G607" s="95" t="str">
        <f t="shared" si="9"/>
        <v/>
      </c>
      <c r="H607" s="91" t="str">
        <f>IF(E607&lt;&gt;"",E607/'Project Summary'!$C$9,"")</f>
        <v/>
      </c>
      <c r="I607" s="97" t="str">
        <f>IF(F607&lt;&gt;"",F607/'Project Summary'!$C$10, "")</f>
        <v/>
      </c>
      <c r="J607" s="68"/>
      <c r="K607" s="69"/>
      <c r="L607" s="102"/>
      <c r="M607" s="102"/>
      <c r="N607" s="68"/>
      <c r="O607" s="68"/>
      <c r="P607" s="106"/>
      <c r="Q607" s="107"/>
      <c r="R607" s="107"/>
      <c r="S607" s="107"/>
      <c r="T607" s="107"/>
    </row>
    <row r="608" spans="2:20" x14ac:dyDescent="0.25">
      <c r="B608" s="68"/>
      <c r="C608" s="68"/>
      <c r="D608" s="70"/>
      <c r="E608" s="68"/>
      <c r="F608" s="68"/>
      <c r="G608" s="95" t="str">
        <f t="shared" si="9"/>
        <v/>
      </c>
      <c r="H608" s="91" t="str">
        <f>IF(E608&lt;&gt;"",E608/'Project Summary'!$C$9,"")</f>
        <v/>
      </c>
      <c r="I608" s="97" t="str">
        <f>IF(F608&lt;&gt;"",F608/'Project Summary'!$C$10, "")</f>
        <v/>
      </c>
      <c r="J608" s="68"/>
      <c r="K608" s="69"/>
      <c r="L608" s="102"/>
      <c r="M608" s="102"/>
      <c r="N608" s="68"/>
      <c r="O608" s="68"/>
      <c r="P608" s="106"/>
      <c r="Q608" s="107"/>
      <c r="R608" s="107"/>
      <c r="S608" s="107"/>
      <c r="T608" s="107"/>
    </row>
    <row r="609" spans="2:20" x14ac:dyDescent="0.25">
      <c r="B609" s="68"/>
      <c r="C609" s="68"/>
      <c r="D609" s="70"/>
      <c r="E609" s="68"/>
      <c r="F609" s="68"/>
      <c r="G609" s="95" t="str">
        <f t="shared" si="9"/>
        <v/>
      </c>
      <c r="H609" s="91" t="str">
        <f>IF(E609&lt;&gt;"",E609/'Project Summary'!$C$9,"")</f>
        <v/>
      </c>
      <c r="I609" s="97" t="str">
        <f>IF(F609&lt;&gt;"",F609/'Project Summary'!$C$10, "")</f>
        <v/>
      </c>
      <c r="J609" s="68"/>
      <c r="K609" s="69"/>
      <c r="L609" s="102"/>
      <c r="M609" s="102"/>
      <c r="N609" s="68"/>
      <c r="O609" s="68"/>
      <c r="P609" s="106"/>
      <c r="Q609" s="107"/>
      <c r="R609" s="107"/>
      <c r="S609" s="107"/>
      <c r="T609" s="107"/>
    </row>
    <row r="610" spans="2:20" x14ac:dyDescent="0.25">
      <c r="B610" s="68"/>
      <c r="C610" s="68"/>
      <c r="D610" s="70"/>
      <c r="E610" s="68"/>
      <c r="F610" s="68"/>
      <c r="G610" s="95" t="str">
        <f t="shared" si="9"/>
        <v/>
      </c>
      <c r="H610" s="91" t="str">
        <f>IF(E610&lt;&gt;"",E610/'Project Summary'!$C$9,"")</f>
        <v/>
      </c>
      <c r="I610" s="97" t="str">
        <f>IF(F610&lt;&gt;"",F610/'Project Summary'!$C$10, "")</f>
        <v/>
      </c>
      <c r="J610" s="68"/>
      <c r="K610" s="69"/>
      <c r="L610" s="102"/>
      <c r="M610" s="102"/>
      <c r="N610" s="68"/>
      <c r="O610" s="68"/>
      <c r="P610" s="106"/>
      <c r="Q610" s="107"/>
      <c r="R610" s="107"/>
      <c r="S610" s="107"/>
      <c r="T610" s="107"/>
    </row>
    <row r="611" spans="2:20" x14ac:dyDescent="0.25">
      <c r="B611" s="68"/>
      <c r="C611" s="68"/>
      <c r="D611" s="70"/>
      <c r="E611" s="68"/>
      <c r="F611" s="68"/>
      <c r="G611" s="95" t="str">
        <f t="shared" si="9"/>
        <v/>
      </c>
      <c r="H611" s="91" t="str">
        <f>IF(E611&lt;&gt;"",E611/'Project Summary'!$C$9,"")</f>
        <v/>
      </c>
      <c r="I611" s="97" t="str">
        <f>IF(F611&lt;&gt;"",F611/'Project Summary'!$C$10, "")</f>
        <v/>
      </c>
      <c r="J611" s="68"/>
      <c r="K611" s="69"/>
      <c r="L611" s="102"/>
      <c r="M611" s="102"/>
      <c r="N611" s="68"/>
      <c r="O611" s="68"/>
      <c r="P611" s="106"/>
      <c r="Q611" s="107"/>
      <c r="R611" s="107"/>
      <c r="S611" s="107"/>
      <c r="T611" s="107"/>
    </row>
    <row r="612" spans="2:20" x14ac:dyDescent="0.25">
      <c r="B612" s="68"/>
      <c r="C612" s="68"/>
      <c r="D612" s="70"/>
      <c r="E612" s="68"/>
      <c r="F612" s="68"/>
      <c r="G612" s="95" t="str">
        <f t="shared" si="9"/>
        <v/>
      </c>
      <c r="H612" s="91" t="str">
        <f>IF(E612&lt;&gt;"",E612/'Project Summary'!$C$9,"")</f>
        <v/>
      </c>
      <c r="I612" s="97" t="str">
        <f>IF(F612&lt;&gt;"",F612/'Project Summary'!$C$10, "")</f>
        <v/>
      </c>
      <c r="J612" s="68"/>
      <c r="K612" s="69"/>
      <c r="L612" s="102"/>
      <c r="M612" s="102"/>
      <c r="N612" s="68"/>
      <c r="O612" s="68"/>
      <c r="P612" s="106"/>
      <c r="Q612" s="107"/>
      <c r="R612" s="107"/>
      <c r="S612" s="107"/>
      <c r="T612" s="107"/>
    </row>
    <row r="613" spans="2:20" x14ac:dyDescent="0.25">
      <c r="B613" s="68"/>
      <c r="C613" s="68"/>
      <c r="D613" s="70"/>
      <c r="E613" s="68"/>
      <c r="F613" s="68"/>
      <c r="G613" s="95" t="str">
        <f t="shared" si="9"/>
        <v/>
      </c>
      <c r="H613" s="91" t="str">
        <f>IF(E613&lt;&gt;"",E613/'Project Summary'!$C$9,"")</f>
        <v/>
      </c>
      <c r="I613" s="97" t="str">
        <f>IF(F613&lt;&gt;"",F613/'Project Summary'!$C$10, "")</f>
        <v/>
      </c>
      <c r="J613" s="68"/>
      <c r="K613" s="69"/>
      <c r="L613" s="102"/>
      <c r="M613" s="102"/>
      <c r="N613" s="68"/>
      <c r="O613" s="68"/>
      <c r="P613" s="106"/>
      <c r="Q613" s="107"/>
      <c r="R613" s="107"/>
      <c r="S613" s="107"/>
      <c r="T613" s="107"/>
    </row>
    <row r="614" spans="2:20" x14ac:dyDescent="0.25">
      <c r="B614" s="68"/>
      <c r="C614" s="68"/>
      <c r="D614" s="70"/>
      <c r="E614" s="68"/>
      <c r="F614" s="68"/>
      <c r="G614" s="95" t="str">
        <f t="shared" si="9"/>
        <v/>
      </c>
      <c r="H614" s="91" t="str">
        <f>IF(E614&lt;&gt;"",E614/'Project Summary'!$C$9,"")</f>
        <v/>
      </c>
      <c r="I614" s="97" t="str">
        <f>IF(F614&lt;&gt;"",F614/'Project Summary'!$C$10, "")</f>
        <v/>
      </c>
      <c r="J614" s="68"/>
      <c r="K614" s="69"/>
      <c r="L614" s="102"/>
      <c r="M614" s="102"/>
      <c r="N614" s="68"/>
      <c r="O614" s="68"/>
      <c r="P614" s="106"/>
      <c r="Q614" s="107"/>
      <c r="R614" s="107"/>
      <c r="S614" s="107"/>
      <c r="T614" s="107"/>
    </row>
    <row r="615" spans="2:20" x14ac:dyDescent="0.25">
      <c r="B615" s="68"/>
      <c r="C615" s="68"/>
      <c r="D615" s="70"/>
      <c r="E615" s="68"/>
      <c r="F615" s="68"/>
      <c r="G615" s="95" t="str">
        <f t="shared" si="9"/>
        <v/>
      </c>
      <c r="H615" s="91" t="str">
        <f>IF(E615&lt;&gt;"",E615/'Project Summary'!$C$9,"")</f>
        <v/>
      </c>
      <c r="I615" s="97" t="str">
        <f>IF(F615&lt;&gt;"",F615/'Project Summary'!$C$10, "")</f>
        <v/>
      </c>
      <c r="J615" s="68"/>
      <c r="K615" s="69"/>
      <c r="L615" s="102"/>
      <c r="M615" s="102"/>
      <c r="N615" s="68"/>
      <c r="O615" s="68"/>
      <c r="P615" s="106"/>
      <c r="Q615" s="107"/>
      <c r="R615" s="107"/>
      <c r="S615" s="107"/>
      <c r="T615" s="107"/>
    </row>
    <row r="616" spans="2:20" x14ac:dyDescent="0.25">
      <c r="B616" s="68"/>
      <c r="C616" s="68"/>
      <c r="D616" s="70"/>
      <c r="E616" s="68"/>
      <c r="F616" s="68"/>
      <c r="G616" s="95" t="str">
        <f t="shared" si="9"/>
        <v/>
      </c>
      <c r="H616" s="91" t="str">
        <f>IF(E616&lt;&gt;"",E616/'Project Summary'!$C$9,"")</f>
        <v/>
      </c>
      <c r="I616" s="97" t="str">
        <f>IF(F616&lt;&gt;"",F616/'Project Summary'!$C$10, "")</f>
        <v/>
      </c>
      <c r="J616" s="68"/>
      <c r="K616" s="69"/>
      <c r="L616" s="102"/>
      <c r="M616" s="102"/>
      <c r="N616" s="68"/>
      <c r="O616" s="68"/>
      <c r="P616" s="106"/>
      <c r="Q616" s="107"/>
      <c r="R616" s="107"/>
      <c r="S616" s="107"/>
      <c r="T616" s="107"/>
    </row>
    <row r="617" spans="2:20" x14ac:dyDescent="0.25">
      <c r="B617" s="68"/>
      <c r="C617" s="68"/>
      <c r="D617" s="70"/>
      <c r="E617" s="68"/>
      <c r="F617" s="68"/>
      <c r="G617" s="95" t="str">
        <f t="shared" si="9"/>
        <v/>
      </c>
      <c r="H617" s="91" t="str">
        <f>IF(E617&lt;&gt;"",E617/'Project Summary'!$C$9,"")</f>
        <v/>
      </c>
      <c r="I617" s="97" t="str">
        <f>IF(F617&lt;&gt;"",F617/'Project Summary'!$C$10, "")</f>
        <v/>
      </c>
      <c r="J617" s="68"/>
      <c r="K617" s="69"/>
      <c r="L617" s="102"/>
      <c r="M617" s="102"/>
      <c r="N617" s="68"/>
      <c r="O617" s="68"/>
      <c r="P617" s="106"/>
      <c r="Q617" s="107"/>
      <c r="R617" s="107"/>
      <c r="S617" s="107"/>
      <c r="T617" s="107"/>
    </row>
    <row r="618" spans="2:20" x14ac:dyDescent="0.25">
      <c r="B618" s="68"/>
      <c r="C618" s="68"/>
      <c r="D618" s="70"/>
      <c r="E618" s="68"/>
      <c r="F618" s="68"/>
      <c r="G618" s="95" t="str">
        <f t="shared" si="9"/>
        <v/>
      </c>
      <c r="H618" s="91" t="str">
        <f>IF(E618&lt;&gt;"",E618/'Project Summary'!$C$9,"")</f>
        <v/>
      </c>
      <c r="I618" s="97" t="str">
        <f>IF(F618&lt;&gt;"",F618/'Project Summary'!$C$10, "")</f>
        <v/>
      </c>
      <c r="J618" s="68"/>
      <c r="K618" s="69"/>
      <c r="L618" s="102"/>
      <c r="M618" s="102"/>
      <c r="N618" s="68"/>
      <c r="O618" s="68"/>
      <c r="P618" s="106"/>
      <c r="Q618" s="107"/>
      <c r="R618" s="107"/>
      <c r="S618" s="107"/>
      <c r="T618" s="107"/>
    </row>
    <row r="619" spans="2:20" x14ac:dyDescent="0.25">
      <c r="B619" s="68"/>
      <c r="C619" s="68"/>
      <c r="D619" s="70"/>
      <c r="E619" s="68"/>
      <c r="F619" s="68"/>
      <c r="G619" s="95" t="str">
        <f t="shared" si="9"/>
        <v/>
      </c>
      <c r="H619" s="91" t="str">
        <f>IF(E619&lt;&gt;"",E619/'Project Summary'!$C$9,"")</f>
        <v/>
      </c>
      <c r="I619" s="97" t="str">
        <f>IF(F619&lt;&gt;"",F619/'Project Summary'!$C$10, "")</f>
        <v/>
      </c>
      <c r="J619" s="68"/>
      <c r="K619" s="69"/>
      <c r="L619" s="102"/>
      <c r="M619" s="102"/>
      <c r="N619" s="68"/>
      <c r="O619" s="68"/>
      <c r="P619" s="106"/>
      <c r="Q619" s="107"/>
      <c r="R619" s="107"/>
      <c r="S619" s="107"/>
      <c r="T619" s="107"/>
    </row>
    <row r="620" spans="2:20" x14ac:dyDescent="0.25">
      <c r="B620" s="68"/>
      <c r="C620" s="68"/>
      <c r="D620" s="70"/>
      <c r="E620" s="68"/>
      <c r="F620" s="68"/>
      <c r="G620" s="95" t="str">
        <f t="shared" si="9"/>
        <v/>
      </c>
      <c r="H620" s="91" t="str">
        <f>IF(E620&lt;&gt;"",E620/'Project Summary'!$C$9,"")</f>
        <v/>
      </c>
      <c r="I620" s="97" t="str">
        <f>IF(F620&lt;&gt;"",F620/'Project Summary'!$C$10, "")</f>
        <v/>
      </c>
      <c r="J620" s="68"/>
      <c r="K620" s="69"/>
      <c r="L620" s="102"/>
      <c r="M620" s="102"/>
      <c r="N620" s="68"/>
      <c r="O620" s="68"/>
      <c r="P620" s="106"/>
      <c r="Q620" s="107"/>
      <c r="R620" s="107"/>
      <c r="S620" s="107"/>
      <c r="T620" s="107"/>
    </row>
    <row r="621" spans="2:20" x14ac:dyDescent="0.25">
      <c r="B621" s="68"/>
      <c r="C621" s="68"/>
      <c r="D621" s="70"/>
      <c r="E621" s="68"/>
      <c r="F621" s="68"/>
      <c r="G621" s="95" t="str">
        <f t="shared" si="9"/>
        <v/>
      </c>
      <c r="H621" s="91" t="str">
        <f>IF(E621&lt;&gt;"",E621/'Project Summary'!$C$9,"")</f>
        <v/>
      </c>
      <c r="I621" s="97" t="str">
        <f>IF(F621&lt;&gt;"",F621/'Project Summary'!$C$10, "")</f>
        <v/>
      </c>
      <c r="J621" s="68"/>
      <c r="K621" s="69"/>
      <c r="L621" s="102"/>
      <c r="M621" s="102"/>
      <c r="N621" s="68"/>
      <c r="O621" s="68"/>
      <c r="P621" s="106"/>
      <c r="Q621" s="107"/>
      <c r="R621" s="107"/>
      <c r="S621" s="107"/>
      <c r="T621" s="107"/>
    </row>
    <row r="622" spans="2:20" x14ac:dyDescent="0.25">
      <c r="B622" s="68"/>
      <c r="C622" s="68"/>
      <c r="D622" s="70"/>
      <c r="E622" s="68"/>
      <c r="F622" s="68"/>
      <c r="G622" s="95" t="str">
        <f t="shared" si="9"/>
        <v/>
      </c>
      <c r="H622" s="91" t="str">
        <f>IF(E622&lt;&gt;"",E622/'Project Summary'!$C$9,"")</f>
        <v/>
      </c>
      <c r="I622" s="97" t="str">
        <f>IF(F622&lt;&gt;"",F622/'Project Summary'!$C$10, "")</f>
        <v/>
      </c>
      <c r="J622" s="68"/>
      <c r="K622" s="69"/>
      <c r="L622" s="102"/>
      <c r="M622" s="102"/>
      <c r="N622" s="68"/>
      <c r="O622" s="68"/>
      <c r="P622" s="106"/>
      <c r="Q622" s="107"/>
      <c r="R622" s="107"/>
      <c r="S622" s="107"/>
      <c r="T622" s="107"/>
    </row>
    <row r="623" spans="2:20" x14ac:dyDescent="0.25">
      <c r="B623" s="68"/>
      <c r="C623" s="68"/>
      <c r="D623" s="70"/>
      <c r="E623" s="68"/>
      <c r="F623" s="68"/>
      <c r="G623" s="95" t="str">
        <f t="shared" si="9"/>
        <v/>
      </c>
      <c r="H623" s="91" t="str">
        <f>IF(E623&lt;&gt;"",E623/'Project Summary'!$C$9,"")</f>
        <v/>
      </c>
      <c r="I623" s="97" t="str">
        <f>IF(F623&lt;&gt;"",F623/'Project Summary'!$C$10, "")</f>
        <v/>
      </c>
      <c r="J623" s="68"/>
      <c r="K623" s="69"/>
      <c r="L623" s="102"/>
      <c r="M623" s="102"/>
      <c r="N623" s="68"/>
      <c r="O623" s="68"/>
      <c r="P623" s="106"/>
      <c r="Q623" s="107"/>
      <c r="R623" s="107"/>
      <c r="S623" s="107"/>
      <c r="T623" s="107"/>
    </row>
    <row r="624" spans="2:20" x14ac:dyDescent="0.25">
      <c r="B624" s="68"/>
      <c r="C624" s="68"/>
      <c r="D624" s="70"/>
      <c r="E624" s="68"/>
      <c r="F624" s="68"/>
      <c r="G624" s="95" t="str">
        <f t="shared" si="9"/>
        <v/>
      </c>
      <c r="H624" s="91" t="str">
        <f>IF(E624&lt;&gt;"",E624/'Project Summary'!$C$9,"")</f>
        <v/>
      </c>
      <c r="I624" s="97" t="str">
        <f>IF(F624&lt;&gt;"",F624/'Project Summary'!$C$10, "")</f>
        <v/>
      </c>
      <c r="J624" s="68"/>
      <c r="K624" s="69"/>
      <c r="L624" s="102"/>
      <c r="M624" s="102"/>
      <c r="N624" s="68"/>
      <c r="O624" s="68"/>
      <c r="P624" s="106"/>
      <c r="Q624" s="107"/>
      <c r="R624" s="107"/>
      <c r="S624" s="107"/>
      <c r="T624" s="107"/>
    </row>
    <row r="625" spans="2:20" x14ac:dyDescent="0.25">
      <c r="B625" s="68"/>
      <c r="C625" s="68"/>
      <c r="D625" s="70"/>
      <c r="E625" s="68"/>
      <c r="F625" s="68"/>
      <c r="G625" s="95" t="str">
        <f t="shared" si="9"/>
        <v/>
      </c>
      <c r="H625" s="91" t="str">
        <f>IF(E625&lt;&gt;"",E625/'Project Summary'!$C$9,"")</f>
        <v/>
      </c>
      <c r="I625" s="97" t="str">
        <f>IF(F625&lt;&gt;"",F625/'Project Summary'!$C$10, "")</f>
        <v/>
      </c>
      <c r="J625" s="68"/>
      <c r="K625" s="69"/>
      <c r="L625" s="102"/>
      <c r="M625" s="102"/>
      <c r="N625" s="68"/>
      <c r="O625" s="68"/>
      <c r="P625" s="106"/>
      <c r="Q625" s="107"/>
      <c r="R625" s="107"/>
      <c r="S625" s="107"/>
      <c r="T625" s="107"/>
    </row>
    <row r="626" spans="2:20" x14ac:dyDescent="0.25">
      <c r="B626" s="68"/>
      <c r="C626" s="68"/>
      <c r="D626" s="70"/>
      <c r="E626" s="68"/>
      <c r="F626" s="68"/>
      <c r="G626" s="95" t="str">
        <f t="shared" si="9"/>
        <v/>
      </c>
      <c r="H626" s="91" t="str">
        <f>IF(E626&lt;&gt;"",E626/'Project Summary'!$C$9,"")</f>
        <v/>
      </c>
      <c r="I626" s="97" t="str">
        <f>IF(F626&lt;&gt;"",F626/'Project Summary'!$C$10, "")</f>
        <v/>
      </c>
      <c r="J626" s="68"/>
      <c r="K626" s="69"/>
      <c r="L626" s="102"/>
      <c r="M626" s="102"/>
      <c r="N626" s="68"/>
      <c r="O626" s="68"/>
      <c r="P626" s="106"/>
      <c r="Q626" s="107"/>
      <c r="R626" s="107"/>
      <c r="S626" s="107"/>
      <c r="T626" s="107"/>
    </row>
    <row r="627" spans="2:20" x14ac:dyDescent="0.25">
      <c r="B627" s="68"/>
      <c r="C627" s="68"/>
      <c r="D627" s="70"/>
      <c r="E627" s="68"/>
      <c r="F627" s="68"/>
      <c r="G627" s="95" t="str">
        <f t="shared" si="9"/>
        <v/>
      </c>
      <c r="H627" s="91" t="str">
        <f>IF(E627&lt;&gt;"",E627/'Project Summary'!$C$9,"")</f>
        <v/>
      </c>
      <c r="I627" s="97" t="str">
        <f>IF(F627&lt;&gt;"",F627/'Project Summary'!$C$10, "")</f>
        <v/>
      </c>
      <c r="J627" s="68"/>
      <c r="K627" s="69"/>
      <c r="L627" s="102"/>
      <c r="M627" s="102"/>
      <c r="N627" s="68"/>
      <c r="O627" s="68"/>
      <c r="P627" s="106"/>
      <c r="Q627" s="107"/>
      <c r="R627" s="107"/>
      <c r="S627" s="107"/>
      <c r="T627" s="107"/>
    </row>
    <row r="628" spans="2:20" x14ac:dyDescent="0.25">
      <c r="B628" s="68"/>
      <c r="C628" s="68"/>
      <c r="D628" s="70"/>
      <c r="E628" s="68"/>
      <c r="F628" s="68"/>
      <c r="G628" s="95" t="str">
        <f t="shared" si="9"/>
        <v/>
      </c>
      <c r="H628" s="91" t="str">
        <f>IF(E628&lt;&gt;"",E628/'Project Summary'!$C$9,"")</f>
        <v/>
      </c>
      <c r="I628" s="97" t="str">
        <f>IF(F628&lt;&gt;"",F628/'Project Summary'!$C$10, "")</f>
        <v/>
      </c>
      <c r="J628" s="68"/>
      <c r="K628" s="69"/>
      <c r="L628" s="102"/>
      <c r="M628" s="102"/>
      <c r="N628" s="68"/>
      <c r="O628" s="68"/>
      <c r="P628" s="106"/>
      <c r="Q628" s="107"/>
      <c r="R628" s="107"/>
      <c r="S628" s="107"/>
      <c r="T628" s="107"/>
    </row>
    <row r="629" spans="2:20" x14ac:dyDescent="0.25">
      <c r="B629" s="68"/>
      <c r="C629" s="68"/>
      <c r="D629" s="70"/>
      <c r="E629" s="68"/>
      <c r="F629" s="68"/>
      <c r="G629" s="95" t="str">
        <f t="shared" si="9"/>
        <v/>
      </c>
      <c r="H629" s="91" t="str">
        <f>IF(E629&lt;&gt;"",E629/'Project Summary'!$C$9,"")</f>
        <v/>
      </c>
      <c r="I629" s="97" t="str">
        <f>IF(F629&lt;&gt;"",F629/'Project Summary'!$C$10, "")</f>
        <v/>
      </c>
      <c r="J629" s="68"/>
      <c r="K629" s="69"/>
      <c r="L629" s="102"/>
      <c r="M629" s="102"/>
      <c r="N629" s="68"/>
      <c r="O629" s="68"/>
      <c r="P629" s="106"/>
      <c r="Q629" s="107"/>
      <c r="R629" s="107"/>
      <c r="S629" s="107"/>
      <c r="T629" s="107"/>
    </row>
    <row r="630" spans="2:20" x14ac:dyDescent="0.25">
      <c r="B630" s="68"/>
      <c r="C630" s="68"/>
      <c r="D630" s="70"/>
      <c r="E630" s="68"/>
      <c r="F630" s="68"/>
      <c r="G630" s="95" t="str">
        <f t="shared" si="9"/>
        <v/>
      </c>
      <c r="H630" s="91" t="str">
        <f>IF(E630&lt;&gt;"",E630/'Project Summary'!$C$9,"")</f>
        <v/>
      </c>
      <c r="I630" s="97" t="str">
        <f>IF(F630&lt;&gt;"",F630/'Project Summary'!$C$10, "")</f>
        <v/>
      </c>
      <c r="J630" s="68"/>
      <c r="K630" s="69"/>
      <c r="L630" s="102"/>
      <c r="M630" s="102"/>
      <c r="N630" s="68"/>
      <c r="O630" s="68"/>
      <c r="P630" s="106"/>
      <c r="Q630" s="107"/>
      <c r="R630" s="107"/>
      <c r="S630" s="107"/>
      <c r="T630" s="107"/>
    </row>
    <row r="631" spans="2:20" x14ac:dyDescent="0.25">
      <c r="B631" s="68"/>
      <c r="C631" s="68"/>
      <c r="D631" s="70"/>
      <c r="E631" s="68"/>
      <c r="F631" s="68"/>
      <c r="G631" s="95" t="str">
        <f t="shared" si="9"/>
        <v/>
      </c>
      <c r="H631" s="91" t="str">
        <f>IF(E631&lt;&gt;"",E631/'Project Summary'!$C$9,"")</f>
        <v/>
      </c>
      <c r="I631" s="97" t="str">
        <f>IF(F631&lt;&gt;"",F631/'Project Summary'!$C$10, "")</f>
        <v/>
      </c>
      <c r="J631" s="68"/>
      <c r="K631" s="69"/>
      <c r="L631" s="102"/>
      <c r="M631" s="102"/>
      <c r="N631" s="68"/>
      <c r="O631" s="68"/>
      <c r="P631" s="106"/>
      <c r="Q631" s="107"/>
      <c r="R631" s="107"/>
      <c r="S631" s="107"/>
      <c r="T631" s="107"/>
    </row>
    <row r="632" spans="2:20" x14ac:dyDescent="0.25">
      <c r="B632" s="68"/>
      <c r="C632" s="68"/>
      <c r="D632" s="70"/>
      <c r="E632" s="68"/>
      <c r="F632" s="68"/>
      <c r="G632" s="95" t="str">
        <f t="shared" si="9"/>
        <v/>
      </c>
      <c r="H632" s="91" t="str">
        <f>IF(E632&lt;&gt;"",E632/'Project Summary'!$C$9,"")</f>
        <v/>
      </c>
      <c r="I632" s="97" t="str">
        <f>IF(F632&lt;&gt;"",F632/'Project Summary'!$C$10, "")</f>
        <v/>
      </c>
      <c r="J632" s="68"/>
      <c r="K632" s="69"/>
      <c r="L632" s="102"/>
      <c r="M632" s="102"/>
      <c r="N632" s="68"/>
      <c r="O632" s="68"/>
      <c r="P632" s="106"/>
      <c r="Q632" s="107"/>
      <c r="R632" s="107"/>
      <c r="S632" s="107"/>
      <c r="T632" s="107"/>
    </row>
    <row r="633" spans="2:20" x14ac:dyDescent="0.25">
      <c r="B633" s="68"/>
      <c r="C633" s="68"/>
      <c r="D633" s="70"/>
      <c r="E633" s="68"/>
      <c r="F633" s="68"/>
      <c r="G633" s="95" t="str">
        <f t="shared" si="9"/>
        <v/>
      </c>
      <c r="H633" s="91" t="str">
        <f>IF(E633&lt;&gt;"",E633/'Project Summary'!$C$9,"")</f>
        <v/>
      </c>
      <c r="I633" s="97" t="str">
        <f>IF(F633&lt;&gt;"",F633/'Project Summary'!$C$10, "")</f>
        <v/>
      </c>
      <c r="J633" s="68"/>
      <c r="K633" s="69"/>
      <c r="L633" s="102"/>
      <c r="M633" s="102"/>
      <c r="N633" s="68"/>
      <c r="O633" s="68"/>
      <c r="P633" s="106"/>
      <c r="Q633" s="107"/>
      <c r="R633" s="107"/>
      <c r="S633" s="107"/>
      <c r="T633" s="107"/>
    </row>
    <row r="634" spans="2:20" x14ac:dyDescent="0.25">
      <c r="B634" s="68"/>
      <c r="C634" s="68"/>
      <c r="D634" s="70"/>
      <c r="E634" s="68"/>
      <c r="F634" s="68"/>
      <c r="G634" s="95" t="str">
        <f t="shared" si="9"/>
        <v/>
      </c>
      <c r="H634" s="91" t="str">
        <f>IF(E634&lt;&gt;"",E634/'Project Summary'!$C$9,"")</f>
        <v/>
      </c>
      <c r="I634" s="97" t="str">
        <f>IF(F634&lt;&gt;"",F634/'Project Summary'!$C$10, "")</f>
        <v/>
      </c>
      <c r="J634" s="68"/>
      <c r="K634" s="69"/>
      <c r="L634" s="102"/>
      <c r="M634" s="102"/>
      <c r="N634" s="68"/>
      <c r="O634" s="68"/>
      <c r="P634" s="106"/>
      <c r="Q634" s="107"/>
      <c r="R634" s="107"/>
      <c r="S634" s="107"/>
      <c r="T634" s="107"/>
    </row>
    <row r="635" spans="2:20" x14ac:dyDescent="0.25">
      <c r="B635" s="68"/>
      <c r="C635" s="68"/>
      <c r="D635" s="70"/>
      <c r="E635" s="68"/>
      <c r="F635" s="68"/>
      <c r="G635" s="95" t="str">
        <f t="shared" si="9"/>
        <v/>
      </c>
      <c r="H635" s="91" t="str">
        <f>IF(E635&lt;&gt;"",E635/'Project Summary'!$C$9,"")</f>
        <v/>
      </c>
      <c r="I635" s="97" t="str">
        <f>IF(F635&lt;&gt;"",F635/'Project Summary'!$C$10, "")</f>
        <v/>
      </c>
      <c r="J635" s="68"/>
      <c r="K635" s="69"/>
      <c r="L635" s="102"/>
      <c r="M635" s="102"/>
      <c r="N635" s="68"/>
      <c r="O635" s="68"/>
      <c r="P635" s="106"/>
      <c r="Q635" s="107"/>
      <c r="R635" s="107"/>
      <c r="S635" s="107"/>
      <c r="T635" s="107"/>
    </row>
    <row r="636" spans="2:20" x14ac:dyDescent="0.25">
      <c r="B636" s="68"/>
      <c r="C636" s="68"/>
      <c r="D636" s="70"/>
      <c r="E636" s="68"/>
      <c r="F636" s="68"/>
      <c r="G636" s="95" t="str">
        <f t="shared" si="9"/>
        <v/>
      </c>
      <c r="H636" s="91" t="str">
        <f>IF(E636&lt;&gt;"",E636/'Project Summary'!$C$9,"")</f>
        <v/>
      </c>
      <c r="I636" s="97" t="str">
        <f>IF(F636&lt;&gt;"",F636/'Project Summary'!$C$10, "")</f>
        <v/>
      </c>
      <c r="J636" s="68"/>
      <c r="K636" s="69"/>
      <c r="L636" s="102"/>
      <c r="M636" s="102"/>
      <c r="N636" s="68"/>
      <c r="O636" s="68"/>
      <c r="P636" s="106"/>
      <c r="Q636" s="107"/>
      <c r="R636" s="107"/>
      <c r="S636" s="107"/>
      <c r="T636" s="107"/>
    </row>
    <row r="637" spans="2:20" x14ac:dyDescent="0.25">
      <c r="B637" s="68"/>
      <c r="C637" s="68"/>
      <c r="D637" s="70"/>
      <c r="E637" s="68"/>
      <c r="F637" s="68"/>
      <c r="G637" s="95" t="str">
        <f t="shared" si="9"/>
        <v/>
      </c>
      <c r="H637" s="91" t="str">
        <f>IF(E637&lt;&gt;"",E637/'Project Summary'!$C$9,"")</f>
        <v/>
      </c>
      <c r="I637" s="97" t="str">
        <f>IF(F637&lt;&gt;"",F637/'Project Summary'!$C$10, "")</f>
        <v/>
      </c>
      <c r="J637" s="68"/>
      <c r="K637" s="69"/>
      <c r="L637" s="102"/>
      <c r="M637" s="102"/>
      <c r="N637" s="68"/>
      <c r="O637" s="68"/>
      <c r="P637" s="106"/>
      <c r="Q637" s="107"/>
      <c r="R637" s="107"/>
      <c r="S637" s="107"/>
      <c r="T637" s="107"/>
    </row>
    <row r="638" spans="2:20" x14ac:dyDescent="0.25">
      <c r="B638" s="68"/>
      <c r="C638" s="68"/>
      <c r="D638" s="70"/>
      <c r="E638" s="68"/>
      <c r="F638" s="68"/>
      <c r="G638" s="95" t="str">
        <f t="shared" si="9"/>
        <v/>
      </c>
      <c r="H638" s="91" t="str">
        <f>IF(E638&lt;&gt;"",E638/'Project Summary'!$C$9,"")</f>
        <v/>
      </c>
      <c r="I638" s="97" t="str">
        <f>IF(F638&lt;&gt;"",F638/'Project Summary'!$C$10, "")</f>
        <v/>
      </c>
      <c r="J638" s="68"/>
      <c r="K638" s="69"/>
      <c r="L638" s="102"/>
      <c r="M638" s="102"/>
      <c r="N638" s="68"/>
      <c r="O638" s="68"/>
      <c r="P638" s="106"/>
      <c r="Q638" s="107"/>
      <c r="R638" s="107"/>
      <c r="S638" s="107"/>
      <c r="T638" s="107"/>
    </row>
    <row r="639" spans="2:20" x14ac:dyDescent="0.25">
      <c r="B639" s="68"/>
      <c r="C639" s="68"/>
      <c r="D639" s="70"/>
      <c r="E639" s="68"/>
      <c r="F639" s="68"/>
      <c r="G639" s="95" t="str">
        <f t="shared" si="9"/>
        <v/>
      </c>
      <c r="H639" s="91" t="str">
        <f>IF(E639&lt;&gt;"",E639/'Project Summary'!$C$9,"")</f>
        <v/>
      </c>
      <c r="I639" s="97" t="str">
        <f>IF(F639&lt;&gt;"",F639/'Project Summary'!$C$10, "")</f>
        <v/>
      </c>
      <c r="J639" s="68"/>
      <c r="K639" s="69"/>
      <c r="L639" s="102"/>
      <c r="M639" s="102"/>
      <c r="N639" s="68"/>
      <c r="O639" s="68"/>
      <c r="P639" s="106"/>
      <c r="Q639" s="107"/>
      <c r="R639" s="107"/>
      <c r="S639" s="107"/>
      <c r="T639" s="107"/>
    </row>
    <row r="640" spans="2:20" x14ac:dyDescent="0.25">
      <c r="B640" s="68"/>
      <c r="C640" s="68"/>
      <c r="D640" s="70"/>
      <c r="E640" s="68"/>
      <c r="F640" s="68"/>
      <c r="G640" s="95" t="str">
        <f t="shared" si="9"/>
        <v/>
      </c>
      <c r="H640" s="91" t="str">
        <f>IF(E640&lt;&gt;"",E640/'Project Summary'!$C$9,"")</f>
        <v/>
      </c>
      <c r="I640" s="97" t="str">
        <f>IF(F640&lt;&gt;"",F640/'Project Summary'!$C$10, "")</f>
        <v/>
      </c>
      <c r="J640" s="68"/>
      <c r="K640" s="69"/>
      <c r="L640" s="102"/>
      <c r="M640" s="102"/>
      <c r="N640" s="68"/>
      <c r="O640" s="68"/>
      <c r="P640" s="106"/>
      <c r="Q640" s="107"/>
      <c r="R640" s="107"/>
      <c r="S640" s="107"/>
      <c r="T640" s="107"/>
    </row>
    <row r="641" spans="2:20" x14ac:dyDescent="0.25">
      <c r="B641" s="68"/>
      <c r="C641" s="68"/>
      <c r="D641" s="70"/>
      <c r="E641" s="68"/>
      <c r="F641" s="68"/>
      <c r="G641" s="95" t="str">
        <f t="shared" si="9"/>
        <v/>
      </c>
      <c r="H641" s="91" t="str">
        <f>IF(E641&lt;&gt;"",E641/'Project Summary'!$C$9,"")</f>
        <v/>
      </c>
      <c r="I641" s="97" t="str">
        <f>IF(F641&lt;&gt;"",F641/'Project Summary'!$C$10, "")</f>
        <v/>
      </c>
      <c r="J641" s="68"/>
      <c r="K641" s="69"/>
      <c r="L641" s="102"/>
      <c r="M641" s="102"/>
      <c r="N641" s="68"/>
      <c r="O641" s="68"/>
      <c r="P641" s="106"/>
      <c r="Q641" s="107"/>
      <c r="R641" s="107"/>
      <c r="S641" s="107"/>
      <c r="T641" s="107"/>
    </row>
    <row r="642" spans="2:20" x14ac:dyDescent="0.25">
      <c r="B642" s="68"/>
      <c r="C642" s="68"/>
      <c r="D642" s="70"/>
      <c r="E642" s="68"/>
      <c r="F642" s="68"/>
      <c r="G642" s="95" t="str">
        <f t="shared" si="9"/>
        <v/>
      </c>
      <c r="H642" s="91" t="str">
        <f>IF(E642&lt;&gt;"",E642/'Project Summary'!$C$9,"")</f>
        <v/>
      </c>
      <c r="I642" s="97" t="str">
        <f>IF(F642&lt;&gt;"",F642/'Project Summary'!$C$10, "")</f>
        <v/>
      </c>
      <c r="J642" s="68"/>
      <c r="K642" s="69"/>
      <c r="L642" s="102"/>
      <c r="M642" s="102"/>
      <c r="N642" s="68"/>
      <c r="O642" s="68"/>
      <c r="P642" s="106"/>
      <c r="Q642" s="107"/>
      <c r="R642" s="107"/>
      <c r="S642" s="107"/>
      <c r="T642" s="107"/>
    </row>
    <row r="643" spans="2:20" x14ac:dyDescent="0.25">
      <c r="B643" s="68"/>
      <c r="C643" s="68"/>
      <c r="D643" s="70"/>
      <c r="E643" s="68"/>
      <c r="F643" s="68"/>
      <c r="G643" s="95" t="str">
        <f t="shared" si="9"/>
        <v/>
      </c>
      <c r="H643" s="91" t="str">
        <f>IF(E643&lt;&gt;"",E643/'Project Summary'!$C$9,"")</f>
        <v/>
      </c>
      <c r="I643" s="97" t="str">
        <f>IF(F643&lt;&gt;"",F643/'Project Summary'!$C$10, "")</f>
        <v/>
      </c>
      <c r="J643" s="68"/>
      <c r="K643" s="69"/>
      <c r="L643" s="102"/>
      <c r="M643" s="102"/>
      <c r="N643" s="68"/>
      <c r="O643" s="68"/>
      <c r="P643" s="106"/>
      <c r="Q643" s="107"/>
      <c r="R643" s="107"/>
      <c r="S643" s="107"/>
      <c r="T643" s="107"/>
    </row>
    <row r="644" spans="2:20" x14ac:dyDescent="0.25">
      <c r="B644" s="68"/>
      <c r="C644" s="68"/>
      <c r="D644" s="70"/>
      <c r="E644" s="68"/>
      <c r="F644" s="68"/>
      <c r="G644" s="95" t="str">
        <f t="shared" si="9"/>
        <v/>
      </c>
      <c r="H644" s="91" t="str">
        <f>IF(E644&lt;&gt;"",E644/'Project Summary'!$C$9,"")</f>
        <v/>
      </c>
      <c r="I644" s="97" t="str">
        <f>IF(F644&lt;&gt;"",F644/'Project Summary'!$C$10, "")</f>
        <v/>
      </c>
      <c r="J644" s="68"/>
      <c r="K644" s="69"/>
      <c r="L644" s="102"/>
      <c r="M644" s="102"/>
      <c r="N644" s="68"/>
      <c r="O644" s="68"/>
      <c r="P644" s="106"/>
      <c r="Q644" s="107"/>
      <c r="R644" s="107"/>
      <c r="S644" s="107"/>
      <c r="T644" s="107"/>
    </row>
    <row r="645" spans="2:20" x14ac:dyDescent="0.25">
      <c r="B645" s="68"/>
      <c r="C645" s="68"/>
      <c r="D645" s="70"/>
      <c r="E645" s="68"/>
      <c r="F645" s="68"/>
      <c r="G645" s="95" t="str">
        <f t="shared" si="9"/>
        <v/>
      </c>
      <c r="H645" s="91" t="str">
        <f>IF(E645&lt;&gt;"",E645/'Project Summary'!$C$9,"")</f>
        <v/>
      </c>
      <c r="I645" s="97" t="str">
        <f>IF(F645&lt;&gt;"",F645/'Project Summary'!$C$10, "")</f>
        <v/>
      </c>
      <c r="J645" s="68"/>
      <c r="K645" s="69"/>
      <c r="L645" s="102"/>
      <c r="M645" s="102"/>
      <c r="N645" s="68"/>
      <c r="O645" s="68"/>
      <c r="P645" s="106"/>
      <c r="Q645" s="107"/>
      <c r="R645" s="107"/>
      <c r="S645" s="107"/>
      <c r="T645" s="107"/>
    </row>
    <row r="646" spans="2:20" x14ac:dyDescent="0.25">
      <c r="B646" s="68"/>
      <c r="C646" s="68"/>
      <c r="D646" s="70"/>
      <c r="E646" s="68"/>
      <c r="F646" s="68"/>
      <c r="G646" s="95" t="str">
        <f t="shared" si="9"/>
        <v/>
      </c>
      <c r="H646" s="91" t="str">
        <f>IF(E646&lt;&gt;"",E646/'Project Summary'!$C$9,"")</f>
        <v/>
      </c>
      <c r="I646" s="97" t="str">
        <f>IF(F646&lt;&gt;"",F646/'Project Summary'!$C$10, "")</f>
        <v/>
      </c>
      <c r="J646" s="68"/>
      <c r="K646" s="69"/>
      <c r="L646" s="102"/>
      <c r="M646" s="102"/>
      <c r="N646" s="68"/>
      <c r="O646" s="68"/>
      <c r="P646" s="106"/>
      <c r="Q646" s="107"/>
      <c r="R646" s="107"/>
      <c r="S646" s="107"/>
      <c r="T646" s="107"/>
    </row>
    <row r="647" spans="2:20" x14ac:dyDescent="0.25">
      <c r="B647" s="68"/>
      <c r="C647" s="68"/>
      <c r="D647" s="70"/>
      <c r="E647" s="68"/>
      <c r="F647" s="68"/>
      <c r="G647" s="95" t="str">
        <f t="shared" si="9"/>
        <v/>
      </c>
      <c r="H647" s="91" t="str">
        <f>IF(E647&lt;&gt;"",E647/'Project Summary'!$C$9,"")</f>
        <v/>
      </c>
      <c r="I647" s="97" t="str">
        <f>IF(F647&lt;&gt;"",F647/'Project Summary'!$C$10, "")</f>
        <v/>
      </c>
      <c r="J647" s="68"/>
      <c r="K647" s="69"/>
      <c r="L647" s="102"/>
      <c r="M647" s="102"/>
      <c r="N647" s="68"/>
      <c r="O647" s="68"/>
      <c r="P647" s="106"/>
      <c r="Q647" s="107"/>
      <c r="R647" s="107"/>
      <c r="S647" s="107"/>
      <c r="T647" s="107"/>
    </row>
    <row r="648" spans="2:20" x14ac:dyDescent="0.25">
      <c r="B648" s="68"/>
      <c r="C648" s="68"/>
      <c r="D648" s="70"/>
      <c r="E648" s="68"/>
      <c r="F648" s="68"/>
      <c r="G648" s="95" t="str">
        <f t="shared" si="9"/>
        <v/>
      </c>
      <c r="H648" s="91" t="str">
        <f>IF(E648&lt;&gt;"",E648/'Project Summary'!$C$9,"")</f>
        <v/>
      </c>
      <c r="I648" s="97" t="str">
        <f>IF(F648&lt;&gt;"",F648/'Project Summary'!$C$10, "")</f>
        <v/>
      </c>
      <c r="J648" s="68"/>
      <c r="K648" s="69"/>
      <c r="L648" s="102"/>
      <c r="M648" s="102"/>
      <c r="N648" s="68"/>
      <c r="O648" s="68"/>
      <c r="P648" s="106"/>
      <c r="Q648" s="107"/>
      <c r="R648" s="107"/>
      <c r="S648" s="107"/>
      <c r="T648" s="107"/>
    </row>
    <row r="649" spans="2:20" x14ac:dyDescent="0.25">
      <c r="B649" s="68"/>
      <c r="C649" s="68"/>
      <c r="D649" s="70"/>
      <c r="E649" s="68"/>
      <c r="F649" s="68"/>
      <c r="G649" s="95" t="str">
        <f t="shared" si="9"/>
        <v/>
      </c>
      <c r="H649" s="91" t="str">
        <f>IF(E649&lt;&gt;"",E649/'Project Summary'!$C$9,"")</f>
        <v/>
      </c>
      <c r="I649" s="97" t="str">
        <f>IF(F649&lt;&gt;"",F649/'Project Summary'!$C$10, "")</f>
        <v/>
      </c>
      <c r="J649" s="68"/>
      <c r="K649" s="69"/>
      <c r="L649" s="102"/>
      <c r="M649" s="102"/>
      <c r="N649" s="68"/>
      <c r="O649" s="68"/>
      <c r="P649" s="106"/>
      <c r="Q649" s="107"/>
      <c r="R649" s="107"/>
      <c r="S649" s="107"/>
      <c r="T649" s="107"/>
    </row>
    <row r="650" spans="2:20" x14ac:dyDescent="0.25">
      <c r="B650" s="68"/>
      <c r="C650" s="68"/>
      <c r="D650" s="70"/>
      <c r="E650" s="68"/>
      <c r="F650" s="68"/>
      <c r="G650" s="95" t="str">
        <f t="shared" si="9"/>
        <v/>
      </c>
      <c r="H650" s="91" t="str">
        <f>IF(E650&lt;&gt;"",E650/'Project Summary'!$C$9,"")</f>
        <v/>
      </c>
      <c r="I650" s="97" t="str">
        <f>IF(F650&lt;&gt;"",F650/'Project Summary'!$C$10, "")</f>
        <v/>
      </c>
      <c r="J650" s="68"/>
      <c r="K650" s="69"/>
      <c r="L650" s="102"/>
      <c r="M650" s="102"/>
      <c r="N650" s="68"/>
      <c r="O650" s="68"/>
      <c r="P650" s="106"/>
      <c r="Q650" s="107"/>
      <c r="R650" s="107"/>
      <c r="S650" s="107"/>
      <c r="T650" s="107"/>
    </row>
    <row r="651" spans="2:20" x14ac:dyDescent="0.25">
      <c r="B651" s="68"/>
      <c r="C651" s="68"/>
      <c r="D651" s="70"/>
      <c r="E651" s="68"/>
      <c r="F651" s="68"/>
      <c r="G651" s="95" t="str">
        <f t="shared" si="9"/>
        <v/>
      </c>
      <c r="H651" s="91" t="str">
        <f>IF(E651&lt;&gt;"",E651/'Project Summary'!$C$9,"")</f>
        <v/>
      </c>
      <c r="I651" s="97" t="str">
        <f>IF(F651&lt;&gt;"",F651/'Project Summary'!$C$10, "")</f>
        <v/>
      </c>
      <c r="J651" s="68"/>
      <c r="K651" s="69"/>
      <c r="L651" s="102"/>
      <c r="M651" s="102"/>
      <c r="N651" s="68"/>
      <c r="O651" s="68"/>
      <c r="P651" s="106"/>
      <c r="Q651" s="107"/>
      <c r="R651" s="107"/>
      <c r="S651" s="107"/>
      <c r="T651" s="107"/>
    </row>
    <row r="652" spans="2:20" x14ac:dyDescent="0.25">
      <c r="B652" s="68"/>
      <c r="C652" s="68"/>
      <c r="D652" s="70"/>
      <c r="E652" s="68"/>
      <c r="F652" s="68"/>
      <c r="G652" s="95" t="str">
        <f t="shared" ref="G652:G715" si="10">IF(D652&lt;&gt;"", D652/E652, "")</f>
        <v/>
      </c>
      <c r="H652" s="91" t="str">
        <f>IF(E652&lt;&gt;"",E652/'Project Summary'!$C$9,"")</f>
        <v/>
      </c>
      <c r="I652" s="97" t="str">
        <f>IF(F652&lt;&gt;"",F652/'Project Summary'!$C$10, "")</f>
        <v/>
      </c>
      <c r="J652" s="68"/>
      <c r="K652" s="69"/>
      <c r="L652" s="102"/>
      <c r="M652" s="102"/>
      <c r="N652" s="68"/>
      <c r="O652" s="68"/>
      <c r="P652" s="106"/>
      <c r="Q652" s="107"/>
      <c r="R652" s="107"/>
      <c r="S652" s="107"/>
      <c r="T652" s="107"/>
    </row>
    <row r="653" spans="2:20" x14ac:dyDescent="0.25">
      <c r="B653" s="68"/>
      <c r="C653" s="68"/>
      <c r="D653" s="70"/>
      <c r="E653" s="68"/>
      <c r="F653" s="68"/>
      <c r="G653" s="95" t="str">
        <f t="shared" si="10"/>
        <v/>
      </c>
      <c r="H653" s="91" t="str">
        <f>IF(E653&lt;&gt;"",E653/'Project Summary'!$C$9,"")</f>
        <v/>
      </c>
      <c r="I653" s="97" t="str">
        <f>IF(F653&lt;&gt;"",F653/'Project Summary'!$C$10, "")</f>
        <v/>
      </c>
      <c r="J653" s="68"/>
      <c r="K653" s="69"/>
      <c r="L653" s="102"/>
      <c r="M653" s="102"/>
      <c r="N653" s="68"/>
      <c r="O653" s="68"/>
      <c r="P653" s="106"/>
      <c r="Q653" s="107"/>
      <c r="R653" s="107"/>
      <c r="S653" s="107"/>
      <c r="T653" s="107"/>
    </row>
    <row r="654" spans="2:20" x14ac:dyDescent="0.25">
      <c r="B654" s="68"/>
      <c r="C654" s="68"/>
      <c r="D654" s="70"/>
      <c r="E654" s="68"/>
      <c r="F654" s="68"/>
      <c r="G654" s="95" t="str">
        <f t="shared" si="10"/>
        <v/>
      </c>
      <c r="H654" s="91" t="str">
        <f>IF(E654&lt;&gt;"",E654/'Project Summary'!$C$9,"")</f>
        <v/>
      </c>
      <c r="I654" s="97" t="str">
        <f>IF(F654&lt;&gt;"",F654/'Project Summary'!$C$10, "")</f>
        <v/>
      </c>
      <c r="J654" s="68"/>
      <c r="K654" s="69"/>
      <c r="L654" s="102"/>
      <c r="M654" s="102"/>
      <c r="N654" s="68"/>
      <c r="O654" s="68"/>
      <c r="P654" s="106"/>
      <c r="Q654" s="107"/>
      <c r="R654" s="107"/>
      <c r="S654" s="107"/>
      <c r="T654" s="107"/>
    </row>
    <row r="655" spans="2:20" x14ac:dyDescent="0.25">
      <c r="B655" s="71"/>
      <c r="C655" s="71"/>
      <c r="D655" s="71"/>
      <c r="E655" s="71"/>
      <c r="F655" s="71"/>
      <c r="G655" s="95" t="str">
        <f t="shared" si="10"/>
        <v/>
      </c>
      <c r="H655" s="91" t="str">
        <f>IF(E655&lt;&gt;"",E655/'Project Summary'!$C$9,"")</f>
        <v/>
      </c>
      <c r="I655" s="97" t="str">
        <f>IF(F655&lt;&gt;"",F655/'Project Summary'!$C$10, "")</f>
        <v/>
      </c>
      <c r="J655" s="71"/>
      <c r="K655" s="143"/>
      <c r="L655" s="103"/>
      <c r="M655" s="103"/>
      <c r="N655" s="68"/>
      <c r="O655" s="68"/>
      <c r="P655" s="106"/>
      <c r="Q655" s="107"/>
      <c r="R655" s="107"/>
      <c r="S655" s="107"/>
      <c r="T655" s="107"/>
    </row>
    <row r="656" spans="2:20" x14ac:dyDescent="0.25">
      <c r="B656" s="68"/>
      <c r="C656" s="68"/>
      <c r="D656" s="68"/>
      <c r="E656" s="68"/>
      <c r="F656" s="68"/>
      <c r="G656" s="95" t="str">
        <f t="shared" si="10"/>
        <v/>
      </c>
      <c r="H656" s="91" t="str">
        <f>IF(E656&lt;&gt;"",E656/'Project Summary'!$C$9,"")</f>
        <v/>
      </c>
      <c r="I656" s="97" t="str">
        <f>IF(F656&lt;&gt;"",F656/'Project Summary'!$C$10, "")</f>
        <v/>
      </c>
      <c r="J656" s="68"/>
      <c r="K656" s="69"/>
      <c r="L656" s="102"/>
      <c r="M656" s="102"/>
      <c r="N656" s="68"/>
      <c r="O656" s="68"/>
      <c r="P656" s="106"/>
      <c r="Q656" s="107"/>
      <c r="R656" s="107"/>
      <c r="S656" s="107"/>
      <c r="T656" s="107"/>
    </row>
    <row r="657" spans="2:20" x14ac:dyDescent="0.25">
      <c r="B657" s="68"/>
      <c r="C657" s="68"/>
      <c r="D657" s="68"/>
      <c r="E657" s="68"/>
      <c r="F657" s="68"/>
      <c r="G657" s="95" t="str">
        <f t="shared" si="10"/>
        <v/>
      </c>
      <c r="H657" s="91" t="str">
        <f>IF(E657&lt;&gt;"",E657/'Project Summary'!$C$9,"")</f>
        <v/>
      </c>
      <c r="I657" s="97" t="str">
        <f>IF(F657&lt;&gt;"",F657/'Project Summary'!$C$10, "")</f>
        <v/>
      </c>
      <c r="J657" s="68"/>
      <c r="K657" s="69"/>
      <c r="L657" s="102"/>
      <c r="M657" s="102"/>
      <c r="N657" s="68"/>
      <c r="O657" s="68"/>
      <c r="P657" s="106"/>
      <c r="Q657" s="107"/>
      <c r="R657" s="107"/>
      <c r="S657" s="107"/>
      <c r="T657" s="107"/>
    </row>
    <row r="658" spans="2:20" x14ac:dyDescent="0.25">
      <c r="B658" s="68"/>
      <c r="C658" s="68"/>
      <c r="D658" s="68"/>
      <c r="E658" s="68"/>
      <c r="F658" s="68"/>
      <c r="G658" s="95" t="str">
        <f t="shared" si="10"/>
        <v/>
      </c>
      <c r="H658" s="91" t="str">
        <f>IF(E658&lt;&gt;"",E658/'Project Summary'!$C$9,"")</f>
        <v/>
      </c>
      <c r="I658" s="97" t="str">
        <f>IF(F658&lt;&gt;"",F658/'Project Summary'!$C$10, "")</f>
        <v/>
      </c>
      <c r="J658" s="68"/>
      <c r="K658" s="69"/>
      <c r="L658" s="102"/>
      <c r="M658" s="102"/>
      <c r="N658" s="68"/>
      <c r="O658" s="68"/>
      <c r="P658" s="106"/>
      <c r="Q658" s="107"/>
      <c r="R658" s="107"/>
      <c r="S658" s="107"/>
      <c r="T658" s="107"/>
    </row>
    <row r="659" spans="2:20" x14ac:dyDescent="0.25">
      <c r="B659" s="68"/>
      <c r="C659" s="68"/>
      <c r="D659" s="68"/>
      <c r="E659" s="68"/>
      <c r="F659" s="68"/>
      <c r="G659" s="95" t="str">
        <f t="shared" si="10"/>
        <v/>
      </c>
      <c r="H659" s="91" t="str">
        <f>IF(E659&lt;&gt;"",E659/'Project Summary'!$C$9,"")</f>
        <v/>
      </c>
      <c r="I659" s="97" t="str">
        <f>IF(F659&lt;&gt;"",F659/'Project Summary'!$C$10, "")</f>
        <v/>
      </c>
      <c r="J659" s="68"/>
      <c r="K659" s="69"/>
      <c r="L659" s="102"/>
      <c r="M659" s="102"/>
      <c r="N659" s="68"/>
      <c r="O659" s="68"/>
      <c r="P659" s="106"/>
      <c r="Q659" s="107"/>
      <c r="R659" s="107"/>
      <c r="S659" s="107"/>
      <c r="T659" s="107"/>
    </row>
    <row r="660" spans="2:20" x14ac:dyDescent="0.25">
      <c r="B660" s="68"/>
      <c r="C660" s="68"/>
      <c r="D660" s="68"/>
      <c r="E660" s="68"/>
      <c r="F660" s="68"/>
      <c r="G660" s="95" t="str">
        <f t="shared" si="10"/>
        <v/>
      </c>
      <c r="H660" s="91" t="str">
        <f>IF(E660&lt;&gt;"",E660/'Project Summary'!$C$9,"")</f>
        <v/>
      </c>
      <c r="I660" s="97" t="str">
        <f>IF(F660&lt;&gt;"",F660/'Project Summary'!$C$10, "")</f>
        <v/>
      </c>
      <c r="J660" s="68"/>
      <c r="K660" s="69"/>
      <c r="L660" s="102"/>
      <c r="M660" s="102"/>
      <c r="N660" s="68"/>
      <c r="O660" s="68"/>
      <c r="P660" s="106"/>
      <c r="Q660" s="107"/>
      <c r="R660" s="107"/>
      <c r="S660" s="107"/>
      <c r="T660" s="107"/>
    </row>
    <row r="661" spans="2:20" x14ac:dyDescent="0.25">
      <c r="B661" s="68"/>
      <c r="C661" s="68"/>
      <c r="D661" s="68"/>
      <c r="E661" s="68"/>
      <c r="F661" s="68"/>
      <c r="G661" s="95" t="str">
        <f t="shared" si="10"/>
        <v/>
      </c>
      <c r="H661" s="91" t="str">
        <f>IF(E661&lt;&gt;"",E661/'Project Summary'!$C$9,"")</f>
        <v/>
      </c>
      <c r="I661" s="97" t="str">
        <f>IF(F661&lt;&gt;"",F661/'Project Summary'!$C$10, "")</f>
        <v/>
      </c>
      <c r="J661" s="68"/>
      <c r="K661" s="69"/>
      <c r="L661" s="102"/>
      <c r="M661" s="102"/>
      <c r="N661" s="68"/>
      <c r="O661" s="68"/>
      <c r="P661" s="106"/>
      <c r="Q661" s="107"/>
      <c r="R661" s="107"/>
      <c r="S661" s="107"/>
      <c r="T661" s="107"/>
    </row>
    <row r="662" spans="2:20" x14ac:dyDescent="0.25">
      <c r="B662" s="68"/>
      <c r="C662" s="68"/>
      <c r="D662" s="68"/>
      <c r="E662" s="68"/>
      <c r="F662" s="68"/>
      <c r="G662" s="95" t="str">
        <f t="shared" si="10"/>
        <v/>
      </c>
      <c r="H662" s="91" t="str">
        <f>IF(E662&lt;&gt;"",E662/'Project Summary'!$C$9,"")</f>
        <v/>
      </c>
      <c r="I662" s="97" t="str">
        <f>IF(F662&lt;&gt;"",F662/'Project Summary'!$C$10, "")</f>
        <v/>
      </c>
      <c r="J662" s="68"/>
      <c r="K662" s="69"/>
      <c r="L662" s="102"/>
      <c r="M662" s="102"/>
      <c r="N662" s="68"/>
      <c r="O662" s="68"/>
      <c r="P662" s="106"/>
      <c r="Q662" s="107"/>
      <c r="R662" s="107"/>
      <c r="S662" s="107"/>
      <c r="T662" s="107"/>
    </row>
    <row r="663" spans="2:20" x14ac:dyDescent="0.25">
      <c r="B663" s="68"/>
      <c r="C663" s="68"/>
      <c r="D663" s="68"/>
      <c r="E663" s="68"/>
      <c r="F663" s="68"/>
      <c r="G663" s="95" t="str">
        <f t="shared" si="10"/>
        <v/>
      </c>
      <c r="H663" s="91" t="str">
        <f>IF(E663&lt;&gt;"",E663/'Project Summary'!$C$9,"")</f>
        <v/>
      </c>
      <c r="I663" s="97" t="str">
        <f>IF(F663&lt;&gt;"",F663/'Project Summary'!$C$10, "")</f>
        <v/>
      </c>
      <c r="J663" s="68"/>
      <c r="K663" s="69"/>
      <c r="L663" s="102"/>
      <c r="M663" s="102"/>
      <c r="N663" s="68"/>
      <c r="O663" s="68"/>
      <c r="P663" s="106"/>
      <c r="Q663" s="107"/>
      <c r="R663" s="107"/>
      <c r="S663" s="107"/>
      <c r="T663" s="107"/>
    </row>
    <row r="664" spans="2:20" x14ac:dyDescent="0.25">
      <c r="B664" s="68"/>
      <c r="C664" s="68"/>
      <c r="D664" s="68"/>
      <c r="E664" s="68"/>
      <c r="F664" s="68"/>
      <c r="G664" s="95" t="str">
        <f t="shared" si="10"/>
        <v/>
      </c>
      <c r="H664" s="91" t="str">
        <f>IF(E664&lt;&gt;"",E664/'Project Summary'!$C$9,"")</f>
        <v/>
      </c>
      <c r="I664" s="97" t="str">
        <f>IF(F664&lt;&gt;"",F664/'Project Summary'!$C$10, "")</f>
        <v/>
      </c>
      <c r="J664" s="68"/>
      <c r="K664" s="69"/>
      <c r="L664" s="102"/>
      <c r="M664" s="102"/>
      <c r="N664" s="68"/>
      <c r="O664" s="68"/>
      <c r="P664" s="106"/>
      <c r="Q664" s="107"/>
      <c r="R664" s="107"/>
      <c r="S664" s="107"/>
      <c r="T664" s="107"/>
    </row>
    <row r="665" spans="2:20" x14ac:dyDescent="0.25">
      <c r="B665" s="68"/>
      <c r="C665" s="68"/>
      <c r="D665" s="68"/>
      <c r="E665" s="68"/>
      <c r="F665" s="68"/>
      <c r="G665" s="95" t="str">
        <f t="shared" si="10"/>
        <v/>
      </c>
      <c r="H665" s="91" t="str">
        <f>IF(E665&lt;&gt;"",E665/'Project Summary'!$C$9,"")</f>
        <v/>
      </c>
      <c r="I665" s="97" t="str">
        <f>IF(F665&lt;&gt;"",F665/'Project Summary'!$C$10, "")</f>
        <v/>
      </c>
      <c r="J665" s="68"/>
      <c r="K665" s="69"/>
      <c r="L665" s="102"/>
      <c r="M665" s="102"/>
      <c r="N665" s="68"/>
      <c r="O665" s="68"/>
      <c r="P665" s="106"/>
      <c r="Q665" s="107"/>
      <c r="R665" s="107"/>
      <c r="S665" s="107"/>
      <c r="T665" s="107"/>
    </row>
    <row r="666" spans="2:20" x14ac:dyDescent="0.25">
      <c r="B666" s="68"/>
      <c r="C666" s="68"/>
      <c r="D666" s="68"/>
      <c r="E666" s="68"/>
      <c r="F666" s="68"/>
      <c r="G666" s="95" t="str">
        <f t="shared" si="10"/>
        <v/>
      </c>
      <c r="H666" s="91" t="str">
        <f>IF(E666&lt;&gt;"",E666/'Project Summary'!$C$9,"")</f>
        <v/>
      </c>
      <c r="I666" s="97" t="str">
        <f>IF(F666&lt;&gt;"",F666/'Project Summary'!$C$10, "")</f>
        <v/>
      </c>
      <c r="J666" s="68"/>
      <c r="K666" s="69"/>
      <c r="L666" s="102"/>
      <c r="M666" s="102"/>
      <c r="N666" s="68"/>
      <c r="O666" s="68"/>
      <c r="P666" s="106"/>
      <c r="Q666" s="107"/>
      <c r="R666" s="107"/>
      <c r="S666" s="107"/>
      <c r="T666" s="107"/>
    </row>
    <row r="667" spans="2:20" x14ac:dyDescent="0.25">
      <c r="B667" s="68"/>
      <c r="C667" s="68"/>
      <c r="D667" s="68"/>
      <c r="E667" s="68"/>
      <c r="F667" s="68"/>
      <c r="G667" s="95" t="str">
        <f t="shared" si="10"/>
        <v/>
      </c>
      <c r="H667" s="91" t="str">
        <f>IF(E667&lt;&gt;"",E667/'Project Summary'!$C$9,"")</f>
        <v/>
      </c>
      <c r="I667" s="97" t="str">
        <f>IF(F667&lt;&gt;"",F667/'Project Summary'!$C$10, "")</f>
        <v/>
      </c>
      <c r="J667" s="68"/>
      <c r="K667" s="69"/>
      <c r="L667" s="102"/>
      <c r="M667" s="102"/>
      <c r="N667" s="68"/>
      <c r="O667" s="68"/>
      <c r="P667" s="106"/>
      <c r="Q667" s="107"/>
      <c r="R667" s="107"/>
      <c r="S667" s="107"/>
      <c r="T667" s="107"/>
    </row>
    <row r="668" spans="2:20" x14ac:dyDescent="0.25">
      <c r="B668" s="68"/>
      <c r="C668" s="68"/>
      <c r="D668" s="68"/>
      <c r="E668" s="68"/>
      <c r="F668" s="68"/>
      <c r="G668" s="95" t="str">
        <f t="shared" si="10"/>
        <v/>
      </c>
      <c r="H668" s="91" t="str">
        <f>IF(E668&lt;&gt;"",E668/'Project Summary'!$C$9,"")</f>
        <v/>
      </c>
      <c r="I668" s="97" t="str">
        <f>IF(F668&lt;&gt;"",F668/'Project Summary'!$C$10, "")</f>
        <v/>
      </c>
      <c r="J668" s="68"/>
      <c r="K668" s="69"/>
      <c r="L668" s="102"/>
      <c r="M668" s="102"/>
      <c r="N668" s="68"/>
      <c r="O668" s="68"/>
      <c r="P668" s="106"/>
      <c r="Q668" s="107"/>
      <c r="R668" s="107"/>
      <c r="S668" s="107"/>
      <c r="T668" s="107"/>
    </row>
    <row r="669" spans="2:20" x14ac:dyDescent="0.25">
      <c r="B669" s="68"/>
      <c r="C669" s="68"/>
      <c r="D669" s="68"/>
      <c r="E669" s="68"/>
      <c r="F669" s="68"/>
      <c r="G669" s="95" t="str">
        <f t="shared" si="10"/>
        <v/>
      </c>
      <c r="H669" s="91" t="str">
        <f>IF(E669&lt;&gt;"",E669/'Project Summary'!$C$9,"")</f>
        <v/>
      </c>
      <c r="I669" s="97" t="str">
        <f>IF(F669&lt;&gt;"",F669/'Project Summary'!$C$10, "")</f>
        <v/>
      </c>
      <c r="J669" s="68"/>
      <c r="K669" s="69"/>
      <c r="L669" s="102"/>
      <c r="M669" s="102"/>
      <c r="N669" s="68"/>
      <c r="O669" s="68"/>
      <c r="P669" s="106"/>
      <c r="Q669" s="107"/>
      <c r="R669" s="107"/>
      <c r="S669" s="107"/>
      <c r="T669" s="107"/>
    </row>
    <row r="670" spans="2:20" x14ac:dyDescent="0.25">
      <c r="B670" s="68"/>
      <c r="C670" s="68"/>
      <c r="D670" s="68"/>
      <c r="E670" s="68"/>
      <c r="F670" s="68"/>
      <c r="G670" s="95" t="str">
        <f t="shared" si="10"/>
        <v/>
      </c>
      <c r="H670" s="91" t="str">
        <f>IF(E670&lt;&gt;"",E670/'Project Summary'!$C$9,"")</f>
        <v/>
      </c>
      <c r="I670" s="97" t="str">
        <f>IF(F670&lt;&gt;"",F670/'Project Summary'!$C$10, "")</f>
        <v/>
      </c>
      <c r="J670" s="68"/>
      <c r="K670" s="69"/>
      <c r="L670" s="102"/>
      <c r="M670" s="102"/>
      <c r="N670" s="68"/>
      <c r="O670" s="68"/>
      <c r="P670" s="106"/>
      <c r="Q670" s="107"/>
      <c r="R670" s="107"/>
      <c r="S670" s="107"/>
      <c r="T670" s="107"/>
    </row>
    <row r="671" spans="2:20" x14ac:dyDescent="0.25">
      <c r="B671" s="68"/>
      <c r="C671" s="68"/>
      <c r="D671" s="68"/>
      <c r="E671" s="68"/>
      <c r="F671" s="68"/>
      <c r="G671" s="95" t="str">
        <f t="shared" si="10"/>
        <v/>
      </c>
      <c r="H671" s="91" t="str">
        <f>IF(E671&lt;&gt;"",E671/'Project Summary'!$C$9,"")</f>
        <v/>
      </c>
      <c r="I671" s="97" t="str">
        <f>IF(F671&lt;&gt;"",F671/'Project Summary'!$C$10, "")</f>
        <v/>
      </c>
      <c r="J671" s="68"/>
      <c r="K671" s="69"/>
      <c r="L671" s="102"/>
      <c r="M671" s="102"/>
      <c r="N671" s="68"/>
      <c r="O671" s="68"/>
      <c r="P671" s="106"/>
      <c r="Q671" s="107"/>
      <c r="R671" s="107"/>
      <c r="S671" s="107"/>
      <c r="T671" s="107"/>
    </row>
    <row r="672" spans="2:20" x14ac:dyDescent="0.25">
      <c r="B672" s="68"/>
      <c r="C672" s="68"/>
      <c r="D672" s="68"/>
      <c r="E672" s="68"/>
      <c r="F672" s="68"/>
      <c r="G672" s="95" t="str">
        <f t="shared" si="10"/>
        <v/>
      </c>
      <c r="H672" s="91" t="str">
        <f>IF(E672&lt;&gt;"",E672/'Project Summary'!$C$9,"")</f>
        <v/>
      </c>
      <c r="I672" s="97" t="str">
        <f>IF(F672&lt;&gt;"",F672/'Project Summary'!$C$10, "")</f>
        <v/>
      </c>
      <c r="J672" s="68"/>
      <c r="K672" s="69"/>
      <c r="L672" s="102"/>
      <c r="M672" s="102"/>
      <c r="N672" s="68"/>
      <c r="O672" s="68"/>
      <c r="P672" s="106"/>
      <c r="Q672" s="107"/>
      <c r="R672" s="107"/>
      <c r="S672" s="107"/>
      <c r="T672" s="107"/>
    </row>
    <row r="673" spans="2:20" x14ac:dyDescent="0.25">
      <c r="B673" s="68"/>
      <c r="C673" s="68"/>
      <c r="D673" s="68"/>
      <c r="E673" s="68"/>
      <c r="F673" s="68"/>
      <c r="G673" s="95" t="str">
        <f t="shared" si="10"/>
        <v/>
      </c>
      <c r="H673" s="91" t="str">
        <f>IF(E673&lt;&gt;"",E673/'Project Summary'!$C$9,"")</f>
        <v/>
      </c>
      <c r="I673" s="97" t="str">
        <f>IF(F673&lt;&gt;"",F673/'Project Summary'!$C$10, "")</f>
        <v/>
      </c>
      <c r="J673" s="68"/>
      <c r="K673" s="69"/>
      <c r="L673" s="102"/>
      <c r="M673" s="102"/>
      <c r="N673" s="68"/>
      <c r="O673" s="68"/>
      <c r="P673" s="106"/>
      <c r="Q673" s="107"/>
      <c r="R673" s="107"/>
      <c r="S673" s="107"/>
      <c r="T673" s="107"/>
    </row>
    <row r="674" spans="2:20" x14ac:dyDescent="0.25">
      <c r="B674" s="68"/>
      <c r="C674" s="68"/>
      <c r="D674" s="68"/>
      <c r="E674" s="68"/>
      <c r="F674" s="68"/>
      <c r="G674" s="95" t="str">
        <f t="shared" si="10"/>
        <v/>
      </c>
      <c r="H674" s="91" t="str">
        <f>IF(E674&lt;&gt;"",E674/'Project Summary'!$C$9,"")</f>
        <v/>
      </c>
      <c r="I674" s="97" t="str">
        <f>IF(F674&lt;&gt;"",F674/'Project Summary'!$C$10, "")</f>
        <v/>
      </c>
      <c r="J674" s="68"/>
      <c r="K674" s="69"/>
      <c r="L674" s="102"/>
      <c r="M674" s="102"/>
      <c r="N674" s="68"/>
      <c r="O674" s="68"/>
      <c r="P674" s="106"/>
      <c r="Q674" s="107"/>
      <c r="R674" s="107"/>
      <c r="S674" s="107"/>
      <c r="T674" s="107"/>
    </row>
    <row r="675" spans="2:20" x14ac:dyDescent="0.25">
      <c r="B675" s="68"/>
      <c r="C675" s="68"/>
      <c r="D675" s="68"/>
      <c r="E675" s="68"/>
      <c r="F675" s="68"/>
      <c r="G675" s="95" t="str">
        <f t="shared" si="10"/>
        <v/>
      </c>
      <c r="H675" s="91" t="str">
        <f>IF(E675&lt;&gt;"",E675/'Project Summary'!$C$9,"")</f>
        <v/>
      </c>
      <c r="I675" s="97" t="str">
        <f>IF(F675&lt;&gt;"",F675/'Project Summary'!$C$10, "")</f>
        <v/>
      </c>
      <c r="J675" s="68"/>
      <c r="K675" s="69"/>
      <c r="L675" s="102"/>
      <c r="M675" s="102"/>
      <c r="N675" s="68"/>
      <c r="O675" s="68"/>
      <c r="P675" s="106"/>
      <c r="Q675" s="107"/>
      <c r="R675" s="107"/>
      <c r="S675" s="107"/>
      <c r="T675" s="107"/>
    </row>
    <row r="676" spans="2:20" x14ac:dyDescent="0.25">
      <c r="B676" s="68"/>
      <c r="C676" s="68"/>
      <c r="D676" s="68"/>
      <c r="E676" s="68"/>
      <c r="F676" s="68"/>
      <c r="G676" s="95" t="str">
        <f t="shared" si="10"/>
        <v/>
      </c>
      <c r="H676" s="91" t="str">
        <f>IF(E676&lt;&gt;"",E676/'Project Summary'!$C$9,"")</f>
        <v/>
      </c>
      <c r="I676" s="97" t="str">
        <f>IF(F676&lt;&gt;"",F676/'Project Summary'!$C$10, "")</f>
        <v/>
      </c>
      <c r="J676" s="68"/>
      <c r="K676" s="69"/>
      <c r="L676" s="102"/>
      <c r="M676" s="102"/>
      <c r="N676" s="68"/>
      <c r="O676" s="68"/>
      <c r="P676" s="106"/>
      <c r="Q676" s="107"/>
      <c r="R676" s="107"/>
      <c r="S676" s="107"/>
      <c r="T676" s="107"/>
    </row>
    <row r="677" spans="2:20" x14ac:dyDescent="0.25">
      <c r="B677" s="68"/>
      <c r="C677" s="68"/>
      <c r="D677" s="68"/>
      <c r="E677" s="68"/>
      <c r="F677" s="68"/>
      <c r="G677" s="95" t="str">
        <f t="shared" si="10"/>
        <v/>
      </c>
      <c r="H677" s="91" t="str">
        <f>IF(E677&lt;&gt;"",E677/'Project Summary'!$C$9,"")</f>
        <v/>
      </c>
      <c r="I677" s="97" t="str">
        <f>IF(F677&lt;&gt;"",F677/'Project Summary'!$C$10, "")</f>
        <v/>
      </c>
      <c r="J677" s="68"/>
      <c r="K677" s="69"/>
      <c r="L677" s="102"/>
      <c r="M677" s="102"/>
      <c r="N677" s="68"/>
      <c r="O677" s="68"/>
      <c r="P677" s="106"/>
      <c r="Q677" s="107"/>
      <c r="R677" s="107"/>
      <c r="S677" s="107"/>
      <c r="T677" s="107"/>
    </row>
    <row r="678" spans="2:20" x14ac:dyDescent="0.25">
      <c r="B678" s="68"/>
      <c r="C678" s="68"/>
      <c r="D678" s="68"/>
      <c r="E678" s="68"/>
      <c r="F678" s="68"/>
      <c r="G678" s="95" t="str">
        <f t="shared" si="10"/>
        <v/>
      </c>
      <c r="H678" s="91" t="str">
        <f>IF(E678&lt;&gt;"",E678/'Project Summary'!$C$9,"")</f>
        <v/>
      </c>
      <c r="I678" s="97" t="str">
        <f>IF(F678&lt;&gt;"",F678/'Project Summary'!$C$10, "")</f>
        <v/>
      </c>
      <c r="J678" s="68"/>
      <c r="K678" s="69"/>
      <c r="L678" s="102"/>
      <c r="M678" s="102"/>
      <c r="N678" s="68"/>
      <c r="O678" s="68"/>
      <c r="P678" s="106"/>
      <c r="Q678" s="107"/>
      <c r="R678" s="107"/>
      <c r="S678" s="107"/>
      <c r="T678" s="107"/>
    </row>
    <row r="679" spans="2:20" x14ac:dyDescent="0.25">
      <c r="B679" s="68"/>
      <c r="C679" s="68"/>
      <c r="D679" s="68"/>
      <c r="E679" s="68"/>
      <c r="F679" s="68"/>
      <c r="G679" s="95" t="str">
        <f t="shared" si="10"/>
        <v/>
      </c>
      <c r="H679" s="91" t="str">
        <f>IF(E679&lt;&gt;"",E679/'Project Summary'!$C$9,"")</f>
        <v/>
      </c>
      <c r="I679" s="97" t="str">
        <f>IF(F679&lt;&gt;"",F679/'Project Summary'!$C$10, "")</f>
        <v/>
      </c>
      <c r="J679" s="68"/>
      <c r="K679" s="69"/>
      <c r="L679" s="102"/>
      <c r="M679" s="102"/>
      <c r="N679" s="68"/>
      <c r="O679" s="68"/>
      <c r="P679" s="106"/>
      <c r="Q679" s="107"/>
      <c r="R679" s="107"/>
      <c r="S679" s="107"/>
      <c r="T679" s="107"/>
    </row>
    <row r="680" spans="2:20" x14ac:dyDescent="0.25">
      <c r="B680" s="68"/>
      <c r="C680" s="68"/>
      <c r="D680" s="68"/>
      <c r="E680" s="68"/>
      <c r="F680" s="68"/>
      <c r="G680" s="95" t="str">
        <f t="shared" si="10"/>
        <v/>
      </c>
      <c r="H680" s="91" t="str">
        <f>IF(E680&lt;&gt;"",E680/'Project Summary'!$C$9,"")</f>
        <v/>
      </c>
      <c r="I680" s="97" t="str">
        <f>IF(F680&lt;&gt;"",F680/'Project Summary'!$C$10, "")</f>
        <v/>
      </c>
      <c r="J680" s="68"/>
      <c r="K680" s="69"/>
      <c r="L680" s="102"/>
      <c r="M680" s="102"/>
      <c r="N680" s="68"/>
      <c r="O680" s="68"/>
      <c r="P680" s="106"/>
      <c r="Q680" s="107"/>
      <c r="R680" s="107"/>
      <c r="S680" s="107"/>
      <c r="T680" s="107"/>
    </row>
    <row r="681" spans="2:20" x14ac:dyDescent="0.25">
      <c r="B681" s="68"/>
      <c r="C681" s="68"/>
      <c r="D681" s="68"/>
      <c r="E681" s="68"/>
      <c r="F681" s="68"/>
      <c r="G681" s="95" t="str">
        <f t="shared" si="10"/>
        <v/>
      </c>
      <c r="H681" s="91" t="str">
        <f>IF(E681&lt;&gt;"",E681/'Project Summary'!$C$9,"")</f>
        <v/>
      </c>
      <c r="I681" s="97" t="str">
        <f>IF(F681&lt;&gt;"",F681/'Project Summary'!$C$10, "")</f>
        <v/>
      </c>
      <c r="J681" s="68"/>
      <c r="K681" s="69"/>
      <c r="L681" s="102"/>
      <c r="M681" s="102"/>
      <c r="N681" s="68"/>
      <c r="O681" s="68"/>
      <c r="P681" s="106"/>
      <c r="Q681" s="107"/>
      <c r="R681" s="107"/>
      <c r="S681" s="107"/>
      <c r="T681" s="107"/>
    </row>
    <row r="682" spans="2:20" x14ac:dyDescent="0.25">
      <c r="B682" s="68"/>
      <c r="C682" s="68"/>
      <c r="D682" s="68"/>
      <c r="E682" s="68"/>
      <c r="F682" s="68"/>
      <c r="G682" s="95" t="str">
        <f t="shared" si="10"/>
        <v/>
      </c>
      <c r="H682" s="91" t="str">
        <f>IF(E682&lt;&gt;"",E682/'Project Summary'!$C$9,"")</f>
        <v/>
      </c>
      <c r="I682" s="97" t="str">
        <f>IF(F682&lt;&gt;"",F682/'Project Summary'!$C$10, "")</f>
        <v/>
      </c>
      <c r="J682" s="68"/>
      <c r="K682" s="69"/>
      <c r="L682" s="102"/>
      <c r="M682" s="102"/>
      <c r="N682" s="68"/>
      <c r="O682" s="68"/>
      <c r="P682" s="106"/>
      <c r="Q682" s="107"/>
      <c r="R682" s="107"/>
      <c r="S682" s="107"/>
      <c r="T682" s="107"/>
    </row>
    <row r="683" spans="2:20" x14ac:dyDescent="0.25">
      <c r="B683" s="68"/>
      <c r="C683" s="68"/>
      <c r="D683" s="68"/>
      <c r="E683" s="68"/>
      <c r="F683" s="68"/>
      <c r="G683" s="95" t="str">
        <f t="shared" si="10"/>
        <v/>
      </c>
      <c r="H683" s="91" t="str">
        <f>IF(E683&lt;&gt;"",E683/'Project Summary'!$C$9,"")</f>
        <v/>
      </c>
      <c r="I683" s="97" t="str">
        <f>IF(F683&lt;&gt;"",F683/'Project Summary'!$C$10, "")</f>
        <v/>
      </c>
      <c r="J683" s="68"/>
      <c r="K683" s="69"/>
      <c r="L683" s="102"/>
      <c r="M683" s="102"/>
      <c r="N683" s="68"/>
      <c r="O683" s="68"/>
      <c r="P683" s="106"/>
      <c r="Q683" s="107"/>
      <c r="R683" s="107"/>
      <c r="S683" s="107"/>
      <c r="T683" s="107"/>
    </row>
    <row r="684" spans="2:20" x14ac:dyDescent="0.25">
      <c r="B684" s="68"/>
      <c r="C684" s="68"/>
      <c r="D684" s="68"/>
      <c r="E684" s="68"/>
      <c r="F684" s="68"/>
      <c r="G684" s="95" t="str">
        <f t="shared" si="10"/>
        <v/>
      </c>
      <c r="H684" s="91" t="str">
        <f>IF(E684&lt;&gt;"",E684/'Project Summary'!$C$9,"")</f>
        <v/>
      </c>
      <c r="I684" s="97" t="str">
        <f>IF(F684&lt;&gt;"",F684/'Project Summary'!$C$10, "")</f>
        <v/>
      </c>
      <c r="J684" s="68"/>
      <c r="K684" s="69"/>
      <c r="L684" s="102"/>
      <c r="M684" s="102"/>
      <c r="N684" s="68"/>
      <c r="O684" s="68"/>
      <c r="P684" s="106"/>
      <c r="Q684" s="107"/>
      <c r="R684" s="107"/>
      <c r="S684" s="107"/>
      <c r="T684" s="107"/>
    </row>
    <row r="685" spans="2:20" x14ac:dyDescent="0.25">
      <c r="B685" s="68"/>
      <c r="C685" s="68"/>
      <c r="D685" s="68"/>
      <c r="E685" s="68"/>
      <c r="F685" s="68"/>
      <c r="G685" s="95" t="str">
        <f t="shared" si="10"/>
        <v/>
      </c>
      <c r="H685" s="91" t="str">
        <f>IF(E685&lt;&gt;"",E685/'Project Summary'!$C$9,"")</f>
        <v/>
      </c>
      <c r="I685" s="97" t="str">
        <f>IF(F685&lt;&gt;"",F685/'Project Summary'!$C$10, "")</f>
        <v/>
      </c>
      <c r="J685" s="68"/>
      <c r="K685" s="69"/>
      <c r="L685" s="102"/>
      <c r="M685" s="102"/>
      <c r="N685" s="68"/>
      <c r="O685" s="68"/>
      <c r="P685" s="106"/>
      <c r="Q685" s="107"/>
      <c r="R685" s="107"/>
      <c r="S685" s="107"/>
      <c r="T685" s="107"/>
    </row>
    <row r="686" spans="2:20" x14ac:dyDescent="0.25">
      <c r="B686" s="68"/>
      <c r="C686" s="68"/>
      <c r="D686" s="68"/>
      <c r="E686" s="68"/>
      <c r="F686" s="68"/>
      <c r="G686" s="95" t="str">
        <f t="shared" si="10"/>
        <v/>
      </c>
      <c r="H686" s="91" t="str">
        <f>IF(E686&lt;&gt;"",E686/'Project Summary'!$C$9,"")</f>
        <v/>
      </c>
      <c r="I686" s="97" t="str">
        <f>IF(F686&lt;&gt;"",F686/'Project Summary'!$C$10, "")</f>
        <v/>
      </c>
      <c r="J686" s="68"/>
      <c r="K686" s="69"/>
      <c r="L686" s="102"/>
      <c r="M686" s="102"/>
      <c r="N686" s="68"/>
      <c r="O686" s="68"/>
      <c r="P686" s="106"/>
      <c r="Q686" s="107"/>
      <c r="R686" s="107"/>
      <c r="S686" s="107"/>
      <c r="T686" s="107"/>
    </row>
    <row r="687" spans="2:20" x14ac:dyDescent="0.25">
      <c r="B687" s="68"/>
      <c r="C687" s="68"/>
      <c r="D687" s="68"/>
      <c r="E687" s="68"/>
      <c r="F687" s="68"/>
      <c r="G687" s="95" t="str">
        <f t="shared" si="10"/>
        <v/>
      </c>
      <c r="H687" s="91" t="str">
        <f>IF(E687&lt;&gt;"",E687/'Project Summary'!$C$9,"")</f>
        <v/>
      </c>
      <c r="I687" s="97" t="str">
        <f>IF(F687&lt;&gt;"",F687/'Project Summary'!$C$10, "")</f>
        <v/>
      </c>
      <c r="J687" s="68"/>
      <c r="K687" s="69"/>
      <c r="L687" s="102"/>
      <c r="M687" s="102"/>
      <c r="N687" s="68"/>
      <c r="O687" s="68"/>
      <c r="P687" s="106"/>
      <c r="Q687" s="107"/>
      <c r="R687" s="107"/>
      <c r="S687" s="107"/>
      <c r="T687" s="107"/>
    </row>
    <row r="688" spans="2:20" x14ac:dyDescent="0.25">
      <c r="B688" s="68"/>
      <c r="C688" s="68"/>
      <c r="D688" s="68"/>
      <c r="E688" s="68"/>
      <c r="F688" s="68"/>
      <c r="G688" s="95" t="str">
        <f t="shared" si="10"/>
        <v/>
      </c>
      <c r="H688" s="91" t="str">
        <f>IF(E688&lt;&gt;"",E688/'Project Summary'!$C$9,"")</f>
        <v/>
      </c>
      <c r="I688" s="97" t="str">
        <f>IF(F688&lt;&gt;"",F688/'Project Summary'!$C$10, "")</f>
        <v/>
      </c>
      <c r="J688" s="68"/>
      <c r="K688" s="69"/>
      <c r="L688" s="102"/>
      <c r="M688" s="102"/>
      <c r="N688" s="68"/>
      <c r="O688" s="68"/>
      <c r="P688" s="106"/>
      <c r="Q688" s="107"/>
      <c r="R688" s="107"/>
      <c r="S688" s="107"/>
      <c r="T688" s="107"/>
    </row>
    <row r="689" spans="2:20" x14ac:dyDescent="0.25">
      <c r="B689" s="68"/>
      <c r="C689" s="68"/>
      <c r="D689" s="68"/>
      <c r="E689" s="68"/>
      <c r="F689" s="68"/>
      <c r="G689" s="95" t="str">
        <f t="shared" si="10"/>
        <v/>
      </c>
      <c r="H689" s="91" t="str">
        <f>IF(E689&lt;&gt;"",E689/'Project Summary'!$C$9,"")</f>
        <v/>
      </c>
      <c r="I689" s="97" t="str">
        <f>IF(F689&lt;&gt;"",F689/'Project Summary'!$C$10, "")</f>
        <v/>
      </c>
      <c r="J689" s="68"/>
      <c r="K689" s="69"/>
      <c r="L689" s="102"/>
      <c r="M689" s="102"/>
      <c r="N689" s="68"/>
      <c r="O689" s="68"/>
      <c r="P689" s="106"/>
      <c r="Q689" s="107"/>
      <c r="R689" s="107"/>
      <c r="S689" s="107"/>
      <c r="T689" s="107"/>
    </row>
    <row r="690" spans="2:20" x14ac:dyDescent="0.25">
      <c r="B690" s="68"/>
      <c r="C690" s="68"/>
      <c r="D690" s="68"/>
      <c r="E690" s="68"/>
      <c r="F690" s="68"/>
      <c r="G690" s="95" t="str">
        <f t="shared" si="10"/>
        <v/>
      </c>
      <c r="H690" s="91" t="str">
        <f>IF(E690&lt;&gt;"",E690/'Project Summary'!$C$9,"")</f>
        <v/>
      </c>
      <c r="I690" s="97" t="str">
        <f>IF(F690&lt;&gt;"",F690/'Project Summary'!$C$10, "")</f>
        <v/>
      </c>
      <c r="J690" s="68"/>
      <c r="K690" s="69"/>
      <c r="L690" s="102"/>
      <c r="M690" s="102"/>
      <c r="N690" s="68"/>
      <c r="O690" s="68"/>
      <c r="P690" s="106"/>
      <c r="Q690" s="107"/>
      <c r="R690" s="107"/>
      <c r="S690" s="107"/>
      <c r="T690" s="107"/>
    </row>
    <row r="691" spans="2:20" x14ac:dyDescent="0.25">
      <c r="B691" s="68"/>
      <c r="C691" s="68"/>
      <c r="D691" s="68"/>
      <c r="E691" s="68"/>
      <c r="F691" s="68"/>
      <c r="G691" s="95" t="str">
        <f t="shared" si="10"/>
        <v/>
      </c>
      <c r="H691" s="91" t="str">
        <f>IF(E691&lt;&gt;"",E691/'Project Summary'!$C$9,"")</f>
        <v/>
      </c>
      <c r="I691" s="97" t="str">
        <f>IF(F691&lt;&gt;"",F691/'Project Summary'!$C$10, "")</f>
        <v/>
      </c>
      <c r="J691" s="68"/>
      <c r="K691" s="69"/>
      <c r="L691" s="102"/>
      <c r="M691" s="102"/>
      <c r="N691" s="68"/>
      <c r="O691" s="68"/>
      <c r="P691" s="106"/>
      <c r="Q691" s="107"/>
      <c r="R691" s="107"/>
      <c r="S691" s="107"/>
      <c r="T691" s="107"/>
    </row>
    <row r="692" spans="2:20" x14ac:dyDescent="0.25">
      <c r="B692" s="68"/>
      <c r="C692" s="68"/>
      <c r="D692" s="68"/>
      <c r="E692" s="68"/>
      <c r="F692" s="68"/>
      <c r="G692" s="95" t="str">
        <f t="shared" si="10"/>
        <v/>
      </c>
      <c r="H692" s="91" t="str">
        <f>IF(E692&lt;&gt;"",E692/'Project Summary'!$C$9,"")</f>
        <v/>
      </c>
      <c r="I692" s="97" t="str">
        <f>IF(F692&lt;&gt;"",F692/'Project Summary'!$C$10, "")</f>
        <v/>
      </c>
      <c r="J692" s="68"/>
      <c r="K692" s="69"/>
      <c r="L692" s="102"/>
      <c r="M692" s="102"/>
      <c r="N692" s="68"/>
      <c r="O692" s="68"/>
      <c r="P692" s="106"/>
      <c r="Q692" s="107"/>
      <c r="R692" s="107"/>
      <c r="S692" s="107"/>
      <c r="T692" s="107"/>
    </row>
    <row r="693" spans="2:20" x14ac:dyDescent="0.25">
      <c r="B693" s="68"/>
      <c r="C693" s="68"/>
      <c r="D693" s="68"/>
      <c r="E693" s="68"/>
      <c r="F693" s="68"/>
      <c r="G693" s="95" t="str">
        <f t="shared" si="10"/>
        <v/>
      </c>
      <c r="H693" s="91" t="str">
        <f>IF(E693&lt;&gt;"",E693/'Project Summary'!$C$9,"")</f>
        <v/>
      </c>
      <c r="I693" s="97" t="str">
        <f>IF(F693&lt;&gt;"",F693/'Project Summary'!$C$10, "")</f>
        <v/>
      </c>
      <c r="J693" s="68"/>
      <c r="K693" s="69"/>
      <c r="L693" s="102"/>
      <c r="M693" s="102"/>
      <c r="N693" s="68"/>
      <c r="O693" s="68"/>
      <c r="P693" s="106"/>
      <c r="Q693" s="107"/>
      <c r="R693" s="107"/>
      <c r="S693" s="107"/>
      <c r="T693" s="107"/>
    </row>
    <row r="694" spans="2:20" x14ac:dyDescent="0.25">
      <c r="B694" s="68"/>
      <c r="C694" s="68"/>
      <c r="D694" s="68"/>
      <c r="E694" s="68"/>
      <c r="F694" s="68"/>
      <c r="G694" s="95" t="str">
        <f t="shared" si="10"/>
        <v/>
      </c>
      <c r="H694" s="91" t="str">
        <f>IF(E694&lt;&gt;"",E694/'Project Summary'!$C$9,"")</f>
        <v/>
      </c>
      <c r="I694" s="97" t="str">
        <f>IF(F694&lt;&gt;"",F694/'Project Summary'!$C$10, "")</f>
        <v/>
      </c>
      <c r="J694" s="68"/>
      <c r="K694" s="69"/>
      <c r="L694" s="102"/>
      <c r="M694" s="102"/>
      <c r="N694" s="68"/>
      <c r="O694" s="68"/>
      <c r="P694" s="106"/>
      <c r="Q694" s="107"/>
      <c r="R694" s="107"/>
      <c r="S694" s="107"/>
      <c r="T694" s="107"/>
    </row>
    <row r="695" spans="2:20" x14ac:dyDescent="0.25">
      <c r="B695" s="68"/>
      <c r="C695" s="68"/>
      <c r="D695" s="68"/>
      <c r="E695" s="68"/>
      <c r="F695" s="68"/>
      <c r="G695" s="95" t="str">
        <f t="shared" si="10"/>
        <v/>
      </c>
      <c r="H695" s="91" t="str">
        <f>IF(E695&lt;&gt;"",E695/'Project Summary'!$C$9,"")</f>
        <v/>
      </c>
      <c r="I695" s="97" t="str">
        <f>IF(F695&lt;&gt;"",F695/'Project Summary'!$C$10, "")</f>
        <v/>
      </c>
      <c r="J695" s="68"/>
      <c r="K695" s="69"/>
      <c r="L695" s="102"/>
      <c r="M695" s="102"/>
      <c r="N695" s="68"/>
      <c r="O695" s="68"/>
      <c r="P695" s="106"/>
      <c r="Q695" s="107"/>
      <c r="R695" s="107"/>
      <c r="S695" s="107"/>
      <c r="T695" s="107"/>
    </row>
    <row r="696" spans="2:20" x14ac:dyDescent="0.25">
      <c r="B696" s="68"/>
      <c r="C696" s="68"/>
      <c r="D696" s="68"/>
      <c r="E696" s="68"/>
      <c r="F696" s="68"/>
      <c r="G696" s="95" t="str">
        <f t="shared" si="10"/>
        <v/>
      </c>
      <c r="H696" s="91" t="str">
        <f>IF(E696&lt;&gt;"",E696/'Project Summary'!$C$9,"")</f>
        <v/>
      </c>
      <c r="I696" s="97" t="str">
        <f>IF(F696&lt;&gt;"",F696/'Project Summary'!$C$10, "")</f>
        <v/>
      </c>
      <c r="J696" s="68"/>
      <c r="K696" s="69"/>
      <c r="L696" s="102"/>
      <c r="M696" s="102"/>
      <c r="N696" s="68"/>
      <c r="O696" s="68"/>
      <c r="P696" s="106"/>
      <c r="Q696" s="107"/>
      <c r="R696" s="107"/>
      <c r="S696" s="107"/>
      <c r="T696" s="107"/>
    </row>
    <row r="697" spans="2:20" x14ac:dyDescent="0.25">
      <c r="B697" s="68"/>
      <c r="C697" s="68"/>
      <c r="D697" s="68"/>
      <c r="E697" s="68"/>
      <c r="F697" s="68"/>
      <c r="G697" s="95" t="str">
        <f t="shared" si="10"/>
        <v/>
      </c>
      <c r="H697" s="91" t="str">
        <f>IF(E697&lt;&gt;"",E697/'Project Summary'!$C$9,"")</f>
        <v/>
      </c>
      <c r="I697" s="97" t="str">
        <f>IF(F697&lt;&gt;"",F697/'Project Summary'!$C$10, "")</f>
        <v/>
      </c>
      <c r="J697" s="68"/>
      <c r="K697" s="69"/>
      <c r="L697" s="102"/>
      <c r="M697" s="102"/>
      <c r="N697" s="68"/>
      <c r="O697" s="68"/>
      <c r="P697" s="106"/>
      <c r="Q697" s="107"/>
      <c r="R697" s="107"/>
      <c r="S697" s="107"/>
      <c r="T697" s="107"/>
    </row>
    <row r="698" spans="2:20" x14ac:dyDescent="0.25">
      <c r="B698" s="68"/>
      <c r="C698" s="68"/>
      <c r="D698" s="68"/>
      <c r="E698" s="68"/>
      <c r="F698" s="68"/>
      <c r="G698" s="95" t="str">
        <f t="shared" si="10"/>
        <v/>
      </c>
      <c r="H698" s="91" t="str">
        <f>IF(E698&lt;&gt;"",E698/'Project Summary'!$C$9,"")</f>
        <v/>
      </c>
      <c r="I698" s="97" t="str">
        <f>IF(F698&lt;&gt;"",F698/'Project Summary'!$C$10, "")</f>
        <v/>
      </c>
      <c r="J698" s="68"/>
      <c r="K698" s="69"/>
      <c r="L698" s="102"/>
      <c r="M698" s="102"/>
      <c r="N698" s="68"/>
      <c r="O698" s="68"/>
      <c r="P698" s="106"/>
      <c r="Q698" s="107"/>
      <c r="R698" s="107"/>
      <c r="S698" s="107"/>
      <c r="T698" s="107"/>
    </row>
    <row r="699" spans="2:20" x14ac:dyDescent="0.25">
      <c r="B699" s="68"/>
      <c r="C699" s="68"/>
      <c r="D699" s="68"/>
      <c r="E699" s="68"/>
      <c r="F699" s="68"/>
      <c r="G699" s="95" t="str">
        <f t="shared" si="10"/>
        <v/>
      </c>
      <c r="H699" s="91" t="str">
        <f>IF(E699&lt;&gt;"",E699/'Project Summary'!$C$9,"")</f>
        <v/>
      </c>
      <c r="I699" s="97" t="str">
        <f>IF(F699&lt;&gt;"",F699/'Project Summary'!$C$10, "")</f>
        <v/>
      </c>
      <c r="J699" s="68"/>
      <c r="K699" s="69"/>
      <c r="L699" s="102"/>
      <c r="M699" s="102"/>
      <c r="N699" s="68"/>
      <c r="O699" s="68"/>
      <c r="P699" s="106"/>
      <c r="Q699" s="107"/>
      <c r="R699" s="107"/>
      <c r="S699" s="107"/>
      <c r="T699" s="107"/>
    </row>
    <row r="700" spans="2:20" x14ac:dyDescent="0.25">
      <c r="B700" s="68"/>
      <c r="C700" s="68"/>
      <c r="D700" s="68"/>
      <c r="E700" s="68"/>
      <c r="F700" s="68"/>
      <c r="G700" s="95" t="str">
        <f t="shared" si="10"/>
        <v/>
      </c>
      <c r="H700" s="91" t="str">
        <f>IF(E700&lt;&gt;"",E700/'Project Summary'!$C$9,"")</f>
        <v/>
      </c>
      <c r="I700" s="97" t="str">
        <f>IF(F700&lt;&gt;"",F700/'Project Summary'!$C$10, "")</f>
        <v/>
      </c>
      <c r="J700" s="68"/>
      <c r="K700" s="69"/>
      <c r="L700" s="102"/>
      <c r="M700" s="102"/>
      <c r="N700" s="68"/>
      <c r="O700" s="68"/>
      <c r="P700" s="106"/>
      <c r="Q700" s="107"/>
      <c r="R700" s="107"/>
      <c r="S700" s="107"/>
      <c r="T700" s="107"/>
    </row>
    <row r="701" spans="2:20" x14ac:dyDescent="0.25">
      <c r="B701" s="68"/>
      <c r="C701" s="68"/>
      <c r="D701" s="68"/>
      <c r="E701" s="68"/>
      <c r="F701" s="68"/>
      <c r="G701" s="95" t="str">
        <f t="shared" si="10"/>
        <v/>
      </c>
      <c r="H701" s="91" t="str">
        <f>IF(E701&lt;&gt;"",E701/'Project Summary'!$C$9,"")</f>
        <v/>
      </c>
      <c r="I701" s="97" t="str">
        <f>IF(F701&lt;&gt;"",F701/'Project Summary'!$C$10, "")</f>
        <v/>
      </c>
      <c r="J701" s="68"/>
      <c r="K701" s="69"/>
      <c r="L701" s="102"/>
      <c r="M701" s="102"/>
      <c r="N701" s="68"/>
      <c r="O701" s="68"/>
      <c r="P701" s="106"/>
      <c r="Q701" s="107"/>
      <c r="R701" s="107"/>
      <c r="S701" s="107"/>
      <c r="T701" s="107"/>
    </row>
    <row r="702" spans="2:20" x14ac:dyDescent="0.25">
      <c r="B702" s="68"/>
      <c r="C702" s="68"/>
      <c r="D702" s="68"/>
      <c r="E702" s="68"/>
      <c r="F702" s="68"/>
      <c r="G702" s="95" t="str">
        <f t="shared" si="10"/>
        <v/>
      </c>
      <c r="H702" s="91" t="str">
        <f>IF(E702&lt;&gt;"",E702/'Project Summary'!$C$9,"")</f>
        <v/>
      </c>
      <c r="I702" s="97" t="str">
        <f>IF(F702&lt;&gt;"",F702/'Project Summary'!$C$10, "")</f>
        <v/>
      </c>
      <c r="J702" s="68"/>
      <c r="K702" s="69"/>
      <c r="L702" s="102"/>
      <c r="M702" s="102"/>
      <c r="N702" s="68"/>
      <c r="O702" s="68"/>
      <c r="P702" s="106"/>
      <c r="Q702" s="107"/>
      <c r="R702" s="107"/>
      <c r="S702" s="107"/>
      <c r="T702" s="107"/>
    </row>
    <row r="703" spans="2:20" x14ac:dyDescent="0.25">
      <c r="B703" s="68"/>
      <c r="C703" s="68"/>
      <c r="D703" s="68"/>
      <c r="E703" s="68"/>
      <c r="F703" s="68"/>
      <c r="G703" s="95" t="str">
        <f t="shared" si="10"/>
        <v/>
      </c>
      <c r="H703" s="91" t="str">
        <f>IF(E703&lt;&gt;"",E703/'Project Summary'!$C$9,"")</f>
        <v/>
      </c>
      <c r="I703" s="97" t="str">
        <f>IF(F703&lt;&gt;"",F703/'Project Summary'!$C$10, "")</f>
        <v/>
      </c>
      <c r="J703" s="68"/>
      <c r="K703" s="69"/>
      <c r="L703" s="102"/>
      <c r="M703" s="102"/>
      <c r="N703" s="68"/>
      <c r="O703" s="68"/>
      <c r="P703" s="106"/>
      <c r="Q703" s="107"/>
      <c r="R703" s="107"/>
      <c r="S703" s="107"/>
      <c r="T703" s="107"/>
    </row>
    <row r="704" spans="2:20" x14ac:dyDescent="0.25">
      <c r="B704" s="68"/>
      <c r="C704" s="68"/>
      <c r="D704" s="68"/>
      <c r="E704" s="68"/>
      <c r="F704" s="68"/>
      <c r="G704" s="95" t="str">
        <f t="shared" si="10"/>
        <v/>
      </c>
      <c r="H704" s="91" t="str">
        <f>IF(E704&lt;&gt;"",E704/'Project Summary'!$C$9,"")</f>
        <v/>
      </c>
      <c r="I704" s="97" t="str">
        <f>IF(F704&lt;&gt;"",F704/'Project Summary'!$C$10, "")</f>
        <v/>
      </c>
      <c r="J704" s="68"/>
      <c r="K704" s="69"/>
      <c r="L704" s="102"/>
      <c r="M704" s="102"/>
      <c r="N704" s="68"/>
      <c r="O704" s="68"/>
      <c r="P704" s="106"/>
      <c r="Q704" s="107"/>
      <c r="R704" s="107"/>
      <c r="S704" s="107"/>
      <c r="T704" s="107"/>
    </row>
    <row r="705" spans="2:20" x14ac:dyDescent="0.25">
      <c r="B705" s="68"/>
      <c r="C705" s="68"/>
      <c r="D705" s="68"/>
      <c r="E705" s="68"/>
      <c r="F705" s="68"/>
      <c r="G705" s="95" t="str">
        <f t="shared" si="10"/>
        <v/>
      </c>
      <c r="H705" s="91" t="str">
        <f>IF(E705&lt;&gt;"",E705/'Project Summary'!$C$9,"")</f>
        <v/>
      </c>
      <c r="I705" s="97" t="str">
        <f>IF(F705&lt;&gt;"",F705/'Project Summary'!$C$10, "")</f>
        <v/>
      </c>
      <c r="J705" s="68"/>
      <c r="K705" s="69"/>
      <c r="L705" s="102"/>
      <c r="M705" s="102"/>
      <c r="N705" s="68"/>
      <c r="O705" s="68"/>
      <c r="P705" s="106"/>
      <c r="Q705" s="107"/>
      <c r="R705" s="107"/>
      <c r="S705" s="107"/>
      <c r="T705" s="107"/>
    </row>
    <row r="706" spans="2:20" x14ac:dyDescent="0.25">
      <c r="B706" s="68"/>
      <c r="C706" s="68"/>
      <c r="D706" s="68"/>
      <c r="E706" s="68"/>
      <c r="F706" s="68"/>
      <c r="G706" s="95" t="str">
        <f t="shared" si="10"/>
        <v/>
      </c>
      <c r="H706" s="91" t="str">
        <f>IF(E706&lt;&gt;"",E706/'Project Summary'!$C$9,"")</f>
        <v/>
      </c>
      <c r="I706" s="97" t="str">
        <f>IF(F706&lt;&gt;"",F706/'Project Summary'!$C$10, "")</f>
        <v/>
      </c>
      <c r="J706" s="68"/>
      <c r="K706" s="69"/>
      <c r="L706" s="102"/>
      <c r="M706" s="102"/>
      <c r="N706" s="68"/>
      <c r="O706" s="68"/>
      <c r="P706" s="106"/>
      <c r="Q706" s="107"/>
      <c r="R706" s="107"/>
      <c r="S706" s="107"/>
      <c r="T706" s="107"/>
    </row>
    <row r="707" spans="2:20" x14ac:dyDescent="0.25">
      <c r="B707" s="68"/>
      <c r="C707" s="68"/>
      <c r="D707" s="68"/>
      <c r="E707" s="68"/>
      <c r="F707" s="68"/>
      <c r="G707" s="95" t="str">
        <f t="shared" si="10"/>
        <v/>
      </c>
      <c r="H707" s="91" t="str">
        <f>IF(E707&lt;&gt;"",E707/'Project Summary'!$C$9,"")</f>
        <v/>
      </c>
      <c r="I707" s="97" t="str">
        <f>IF(F707&lt;&gt;"",F707/'Project Summary'!$C$10, "")</f>
        <v/>
      </c>
      <c r="J707" s="68"/>
      <c r="K707" s="69"/>
      <c r="L707" s="102"/>
      <c r="M707" s="102"/>
      <c r="N707" s="68"/>
      <c r="O707" s="68"/>
      <c r="P707" s="106"/>
      <c r="Q707" s="107"/>
      <c r="R707" s="107"/>
      <c r="S707" s="107"/>
      <c r="T707" s="107"/>
    </row>
    <row r="708" spans="2:20" x14ac:dyDescent="0.25">
      <c r="B708" s="68"/>
      <c r="C708" s="68"/>
      <c r="D708" s="68"/>
      <c r="E708" s="68"/>
      <c r="F708" s="68"/>
      <c r="G708" s="95" t="str">
        <f t="shared" si="10"/>
        <v/>
      </c>
      <c r="H708" s="91" t="str">
        <f>IF(E708&lt;&gt;"",E708/'Project Summary'!$C$9,"")</f>
        <v/>
      </c>
      <c r="I708" s="97" t="str">
        <f>IF(F708&lt;&gt;"",F708/'Project Summary'!$C$10, "")</f>
        <v/>
      </c>
      <c r="J708" s="68"/>
      <c r="K708" s="69"/>
      <c r="L708" s="102"/>
      <c r="M708" s="102"/>
      <c r="N708" s="68"/>
      <c r="O708" s="68"/>
      <c r="P708" s="106"/>
      <c r="Q708" s="107"/>
      <c r="R708" s="107"/>
      <c r="S708" s="107"/>
      <c r="T708" s="107"/>
    </row>
    <row r="709" spans="2:20" x14ac:dyDescent="0.25">
      <c r="B709" s="68"/>
      <c r="C709" s="68"/>
      <c r="D709" s="68"/>
      <c r="E709" s="68"/>
      <c r="F709" s="68"/>
      <c r="G709" s="95" t="str">
        <f t="shared" si="10"/>
        <v/>
      </c>
      <c r="H709" s="91" t="str">
        <f>IF(E709&lt;&gt;"",E709/'Project Summary'!$C$9,"")</f>
        <v/>
      </c>
      <c r="I709" s="97" t="str">
        <f>IF(F709&lt;&gt;"",F709/'Project Summary'!$C$10, "")</f>
        <v/>
      </c>
      <c r="J709" s="68"/>
      <c r="K709" s="69"/>
      <c r="L709" s="102"/>
      <c r="M709" s="102"/>
      <c r="N709" s="68"/>
      <c r="O709" s="68"/>
      <c r="P709" s="106"/>
      <c r="Q709" s="107"/>
      <c r="R709" s="107"/>
      <c r="S709" s="107"/>
      <c r="T709" s="107"/>
    </row>
    <row r="710" spans="2:20" x14ac:dyDescent="0.25">
      <c r="B710" s="68"/>
      <c r="C710" s="68"/>
      <c r="D710" s="68"/>
      <c r="E710" s="68"/>
      <c r="F710" s="68"/>
      <c r="G710" s="95" t="str">
        <f t="shared" si="10"/>
        <v/>
      </c>
      <c r="H710" s="91" t="str">
        <f>IF(E710&lt;&gt;"",E710/'Project Summary'!$C$9,"")</f>
        <v/>
      </c>
      <c r="I710" s="97" t="str">
        <f>IF(F710&lt;&gt;"",F710/'Project Summary'!$C$10, "")</f>
        <v/>
      </c>
      <c r="J710" s="68"/>
      <c r="K710" s="69"/>
      <c r="L710" s="102"/>
      <c r="M710" s="102"/>
      <c r="N710" s="68"/>
      <c r="O710" s="68"/>
      <c r="P710" s="106"/>
      <c r="Q710" s="107"/>
      <c r="R710" s="107"/>
      <c r="S710" s="107"/>
      <c r="T710" s="107"/>
    </row>
    <row r="711" spans="2:20" x14ac:dyDescent="0.25">
      <c r="B711" s="68"/>
      <c r="C711" s="68"/>
      <c r="D711" s="68"/>
      <c r="E711" s="68"/>
      <c r="F711" s="68"/>
      <c r="G711" s="95" t="str">
        <f t="shared" si="10"/>
        <v/>
      </c>
      <c r="H711" s="91" t="str">
        <f>IF(E711&lt;&gt;"",E711/'Project Summary'!$C$9,"")</f>
        <v/>
      </c>
      <c r="I711" s="97" t="str">
        <f>IF(F711&lt;&gt;"",F711/'Project Summary'!$C$10, "")</f>
        <v/>
      </c>
      <c r="J711" s="68"/>
      <c r="K711" s="69"/>
      <c r="L711" s="102"/>
      <c r="M711" s="102"/>
      <c r="N711" s="68"/>
      <c r="O711" s="68"/>
      <c r="P711" s="106"/>
      <c r="Q711" s="107"/>
      <c r="R711" s="107"/>
      <c r="S711" s="107"/>
      <c r="T711" s="107"/>
    </row>
    <row r="712" spans="2:20" x14ac:dyDescent="0.25">
      <c r="B712" s="68"/>
      <c r="C712" s="68"/>
      <c r="D712" s="68"/>
      <c r="E712" s="68"/>
      <c r="F712" s="68"/>
      <c r="G712" s="95" t="str">
        <f t="shared" si="10"/>
        <v/>
      </c>
      <c r="H712" s="91" t="str">
        <f>IF(E712&lt;&gt;"",E712/'Project Summary'!$C$9,"")</f>
        <v/>
      </c>
      <c r="I712" s="97" t="str">
        <f>IF(F712&lt;&gt;"",F712/'Project Summary'!$C$10, "")</f>
        <v/>
      </c>
      <c r="J712" s="68"/>
      <c r="K712" s="69"/>
      <c r="L712" s="102"/>
      <c r="M712" s="102"/>
      <c r="N712" s="68"/>
      <c r="O712" s="68"/>
      <c r="P712" s="106"/>
      <c r="Q712" s="107"/>
      <c r="R712" s="107"/>
      <c r="S712" s="107"/>
      <c r="T712" s="107"/>
    </row>
    <row r="713" spans="2:20" x14ac:dyDescent="0.25">
      <c r="B713" s="68"/>
      <c r="C713" s="68"/>
      <c r="D713" s="68"/>
      <c r="E713" s="68"/>
      <c r="F713" s="68"/>
      <c r="G713" s="95" t="str">
        <f t="shared" si="10"/>
        <v/>
      </c>
      <c r="H713" s="91" t="str">
        <f>IF(E713&lt;&gt;"",E713/'Project Summary'!$C$9,"")</f>
        <v/>
      </c>
      <c r="I713" s="97" t="str">
        <f>IF(F713&lt;&gt;"",F713/'Project Summary'!$C$10, "")</f>
        <v/>
      </c>
      <c r="J713" s="68"/>
      <c r="K713" s="69"/>
      <c r="L713" s="102"/>
      <c r="M713" s="102"/>
      <c r="N713" s="68"/>
      <c r="O713" s="68"/>
      <c r="P713" s="106"/>
      <c r="Q713" s="107"/>
      <c r="R713" s="107"/>
      <c r="S713" s="107"/>
      <c r="T713" s="107"/>
    </row>
    <row r="714" spans="2:20" x14ac:dyDescent="0.25">
      <c r="B714" s="68"/>
      <c r="C714" s="68"/>
      <c r="D714" s="68"/>
      <c r="E714" s="68"/>
      <c r="F714" s="68"/>
      <c r="G714" s="95" t="str">
        <f t="shared" si="10"/>
        <v/>
      </c>
      <c r="H714" s="91" t="str">
        <f>IF(E714&lt;&gt;"",E714/'Project Summary'!$C$9,"")</f>
        <v/>
      </c>
      <c r="I714" s="97" t="str">
        <f>IF(F714&lt;&gt;"",F714/'Project Summary'!$C$10, "")</f>
        <v/>
      </c>
      <c r="J714" s="68"/>
      <c r="K714" s="69"/>
      <c r="L714" s="102"/>
      <c r="M714" s="102"/>
      <c r="N714" s="68"/>
      <c r="O714" s="68"/>
      <c r="P714" s="106"/>
      <c r="Q714" s="107"/>
      <c r="R714" s="107"/>
      <c r="S714" s="107"/>
      <c r="T714" s="107"/>
    </row>
    <row r="715" spans="2:20" x14ac:dyDescent="0.25">
      <c r="B715" s="68"/>
      <c r="C715" s="68"/>
      <c r="D715" s="68"/>
      <c r="E715" s="68"/>
      <c r="F715" s="68"/>
      <c r="G715" s="95" t="str">
        <f t="shared" si="10"/>
        <v/>
      </c>
      <c r="H715" s="91" t="str">
        <f>IF(E715&lt;&gt;"",E715/'Project Summary'!$C$9,"")</f>
        <v/>
      </c>
      <c r="I715" s="97" t="str">
        <f>IF(F715&lt;&gt;"",F715/'Project Summary'!$C$10, "")</f>
        <v/>
      </c>
      <c r="J715" s="68"/>
      <c r="K715" s="69"/>
      <c r="L715" s="102"/>
      <c r="M715" s="102"/>
      <c r="N715" s="68"/>
      <c r="O715" s="68"/>
      <c r="P715" s="106"/>
      <c r="Q715" s="107"/>
      <c r="R715" s="107"/>
      <c r="S715" s="107"/>
      <c r="T715" s="107"/>
    </row>
    <row r="716" spans="2:20" x14ac:dyDescent="0.25">
      <c r="B716" s="68"/>
      <c r="C716" s="68"/>
      <c r="D716" s="68"/>
      <c r="E716" s="68"/>
      <c r="F716" s="68"/>
      <c r="G716" s="95" t="str">
        <f t="shared" ref="G716:G779" si="11">IF(D716&lt;&gt;"", D716/E716, "")</f>
        <v/>
      </c>
      <c r="H716" s="91" t="str">
        <f>IF(E716&lt;&gt;"",E716/'Project Summary'!$C$9,"")</f>
        <v/>
      </c>
      <c r="I716" s="97" t="str">
        <f>IF(F716&lt;&gt;"",F716/'Project Summary'!$C$10, "")</f>
        <v/>
      </c>
      <c r="J716" s="68"/>
      <c r="K716" s="69"/>
      <c r="L716" s="102"/>
      <c r="M716" s="102"/>
      <c r="N716" s="68"/>
      <c r="O716" s="68"/>
      <c r="P716" s="106"/>
      <c r="Q716" s="107"/>
      <c r="R716" s="107"/>
      <c r="S716" s="107"/>
      <c r="T716" s="107"/>
    </row>
    <row r="717" spans="2:20" x14ac:dyDescent="0.25">
      <c r="B717" s="68"/>
      <c r="C717" s="68"/>
      <c r="D717" s="68"/>
      <c r="E717" s="68"/>
      <c r="F717" s="68"/>
      <c r="G717" s="95" t="str">
        <f t="shared" si="11"/>
        <v/>
      </c>
      <c r="H717" s="91" t="str">
        <f>IF(E717&lt;&gt;"",E717/'Project Summary'!$C$9,"")</f>
        <v/>
      </c>
      <c r="I717" s="97" t="str">
        <f>IF(F717&lt;&gt;"",F717/'Project Summary'!$C$10, "")</f>
        <v/>
      </c>
      <c r="J717" s="68"/>
      <c r="K717" s="69"/>
      <c r="L717" s="102"/>
      <c r="M717" s="102"/>
      <c r="N717" s="68"/>
      <c r="O717" s="68"/>
      <c r="P717" s="106"/>
      <c r="Q717" s="107"/>
      <c r="R717" s="107"/>
      <c r="S717" s="107"/>
      <c r="T717" s="107"/>
    </row>
    <row r="718" spans="2:20" x14ac:dyDescent="0.25">
      <c r="B718" s="68"/>
      <c r="C718" s="68"/>
      <c r="D718" s="68"/>
      <c r="E718" s="68"/>
      <c r="F718" s="68"/>
      <c r="G718" s="95" t="str">
        <f t="shared" si="11"/>
        <v/>
      </c>
      <c r="H718" s="91" t="str">
        <f>IF(E718&lt;&gt;"",E718/'Project Summary'!$C$9,"")</f>
        <v/>
      </c>
      <c r="I718" s="97" t="str">
        <f>IF(F718&lt;&gt;"",F718/'Project Summary'!$C$10, "")</f>
        <v/>
      </c>
      <c r="J718" s="68"/>
      <c r="K718" s="69"/>
      <c r="L718" s="102"/>
      <c r="M718" s="102"/>
      <c r="N718" s="68"/>
      <c r="O718" s="68"/>
      <c r="P718" s="106"/>
      <c r="Q718" s="107"/>
      <c r="R718" s="107"/>
      <c r="S718" s="107"/>
      <c r="T718" s="107"/>
    </row>
    <row r="719" spans="2:20" x14ac:dyDescent="0.25">
      <c r="B719" s="68"/>
      <c r="C719" s="68"/>
      <c r="D719" s="68"/>
      <c r="E719" s="68"/>
      <c r="F719" s="68"/>
      <c r="G719" s="95" t="str">
        <f t="shared" si="11"/>
        <v/>
      </c>
      <c r="H719" s="91" t="str">
        <f>IF(E719&lt;&gt;"",E719/'Project Summary'!$C$9,"")</f>
        <v/>
      </c>
      <c r="I719" s="97" t="str">
        <f>IF(F719&lt;&gt;"",F719/'Project Summary'!$C$10, "")</f>
        <v/>
      </c>
      <c r="J719" s="68"/>
      <c r="K719" s="69"/>
      <c r="L719" s="102"/>
      <c r="M719" s="102"/>
      <c r="N719" s="68"/>
      <c r="O719" s="68"/>
      <c r="P719" s="106"/>
      <c r="Q719" s="107"/>
      <c r="R719" s="107"/>
      <c r="S719" s="107"/>
      <c r="T719" s="107"/>
    </row>
    <row r="720" spans="2:20" x14ac:dyDescent="0.25">
      <c r="B720" s="68"/>
      <c r="C720" s="68"/>
      <c r="D720" s="68"/>
      <c r="E720" s="68"/>
      <c r="F720" s="68"/>
      <c r="G720" s="95" t="str">
        <f t="shared" si="11"/>
        <v/>
      </c>
      <c r="H720" s="91" t="str">
        <f>IF(E720&lt;&gt;"",E720/'Project Summary'!$C$9,"")</f>
        <v/>
      </c>
      <c r="I720" s="97" t="str">
        <f>IF(F720&lt;&gt;"",F720/'Project Summary'!$C$10, "")</f>
        <v/>
      </c>
      <c r="J720" s="68"/>
      <c r="K720" s="69"/>
      <c r="L720" s="102"/>
      <c r="M720" s="102"/>
      <c r="N720" s="68"/>
      <c r="O720" s="68"/>
      <c r="P720" s="106"/>
      <c r="Q720" s="107"/>
      <c r="R720" s="107"/>
      <c r="S720" s="107"/>
      <c r="T720" s="107"/>
    </row>
    <row r="721" spans="2:20" x14ac:dyDescent="0.25">
      <c r="B721" s="68"/>
      <c r="C721" s="68"/>
      <c r="D721" s="68"/>
      <c r="E721" s="68"/>
      <c r="F721" s="68"/>
      <c r="G721" s="95" t="str">
        <f t="shared" si="11"/>
        <v/>
      </c>
      <c r="H721" s="91" t="str">
        <f>IF(E721&lt;&gt;"",E721/'Project Summary'!$C$9,"")</f>
        <v/>
      </c>
      <c r="I721" s="97" t="str">
        <f>IF(F721&lt;&gt;"",F721/'Project Summary'!$C$10, "")</f>
        <v/>
      </c>
      <c r="J721" s="68"/>
      <c r="K721" s="69"/>
      <c r="L721" s="102"/>
      <c r="M721" s="102"/>
      <c r="N721" s="68"/>
      <c r="O721" s="68"/>
      <c r="P721" s="106"/>
      <c r="Q721" s="107"/>
      <c r="R721" s="107"/>
      <c r="S721" s="107"/>
      <c r="T721" s="107"/>
    </row>
    <row r="722" spans="2:20" x14ac:dyDescent="0.25">
      <c r="B722" s="68"/>
      <c r="C722" s="68"/>
      <c r="D722" s="68"/>
      <c r="E722" s="68"/>
      <c r="F722" s="68"/>
      <c r="G722" s="95" t="str">
        <f t="shared" si="11"/>
        <v/>
      </c>
      <c r="H722" s="91" t="str">
        <f>IF(E722&lt;&gt;"",E722/'Project Summary'!$C$9,"")</f>
        <v/>
      </c>
      <c r="I722" s="97" t="str">
        <f>IF(F722&lt;&gt;"",F722/'Project Summary'!$C$10, "")</f>
        <v/>
      </c>
      <c r="J722" s="68"/>
      <c r="K722" s="69"/>
      <c r="L722" s="102"/>
      <c r="M722" s="102"/>
      <c r="N722" s="68"/>
      <c r="O722" s="68"/>
      <c r="P722" s="106"/>
      <c r="Q722" s="107"/>
      <c r="R722" s="107"/>
      <c r="S722" s="107"/>
      <c r="T722" s="107"/>
    </row>
    <row r="723" spans="2:20" x14ac:dyDescent="0.25">
      <c r="B723" s="68"/>
      <c r="C723" s="68"/>
      <c r="D723" s="68"/>
      <c r="E723" s="68"/>
      <c r="F723" s="68"/>
      <c r="G723" s="95" t="str">
        <f t="shared" si="11"/>
        <v/>
      </c>
      <c r="H723" s="91" t="str">
        <f>IF(E723&lt;&gt;"",E723/'Project Summary'!$C$9,"")</f>
        <v/>
      </c>
      <c r="I723" s="97" t="str">
        <f>IF(F723&lt;&gt;"",F723/'Project Summary'!$C$10, "")</f>
        <v/>
      </c>
      <c r="J723" s="68"/>
      <c r="K723" s="69"/>
      <c r="L723" s="102"/>
      <c r="M723" s="102"/>
      <c r="N723" s="68"/>
      <c r="O723" s="68"/>
      <c r="P723" s="106"/>
      <c r="Q723" s="107"/>
      <c r="R723" s="107"/>
      <c r="S723" s="107"/>
      <c r="T723" s="107"/>
    </row>
    <row r="724" spans="2:20" x14ac:dyDescent="0.25">
      <c r="B724" s="68"/>
      <c r="C724" s="68"/>
      <c r="D724" s="68"/>
      <c r="E724" s="68"/>
      <c r="F724" s="68"/>
      <c r="G724" s="95" t="str">
        <f t="shared" si="11"/>
        <v/>
      </c>
      <c r="H724" s="91" t="str">
        <f>IF(E724&lt;&gt;"",E724/'Project Summary'!$C$9,"")</f>
        <v/>
      </c>
      <c r="I724" s="97" t="str">
        <f>IF(F724&lt;&gt;"",F724/'Project Summary'!$C$10, "")</f>
        <v/>
      </c>
      <c r="J724" s="68"/>
      <c r="K724" s="69"/>
      <c r="L724" s="102"/>
      <c r="M724" s="102"/>
      <c r="N724" s="68"/>
      <c r="O724" s="68"/>
      <c r="P724" s="106"/>
      <c r="Q724" s="107"/>
      <c r="R724" s="107"/>
      <c r="S724" s="107"/>
      <c r="T724" s="107"/>
    </row>
    <row r="725" spans="2:20" x14ac:dyDescent="0.25">
      <c r="B725" s="68"/>
      <c r="C725" s="68"/>
      <c r="D725" s="68"/>
      <c r="E725" s="68"/>
      <c r="F725" s="68"/>
      <c r="G725" s="95" t="str">
        <f t="shared" si="11"/>
        <v/>
      </c>
      <c r="H725" s="91" t="str">
        <f>IF(E725&lt;&gt;"",E725/'Project Summary'!$C$9,"")</f>
        <v/>
      </c>
      <c r="I725" s="97" t="str">
        <f>IF(F725&lt;&gt;"",F725/'Project Summary'!$C$10, "")</f>
        <v/>
      </c>
      <c r="J725" s="68"/>
      <c r="K725" s="69"/>
      <c r="L725" s="102"/>
      <c r="M725" s="102"/>
      <c r="N725" s="68"/>
      <c r="O725" s="68"/>
      <c r="P725" s="106"/>
      <c r="Q725" s="107"/>
      <c r="R725" s="107"/>
      <c r="S725" s="107"/>
      <c r="T725" s="107"/>
    </row>
    <row r="726" spans="2:20" x14ac:dyDescent="0.25">
      <c r="B726" s="68"/>
      <c r="C726" s="68"/>
      <c r="D726" s="68"/>
      <c r="E726" s="68"/>
      <c r="F726" s="68"/>
      <c r="G726" s="95" t="str">
        <f t="shared" si="11"/>
        <v/>
      </c>
      <c r="H726" s="91" t="str">
        <f>IF(E726&lt;&gt;"",E726/'Project Summary'!$C$9,"")</f>
        <v/>
      </c>
      <c r="I726" s="97" t="str">
        <f>IF(F726&lt;&gt;"",F726/'Project Summary'!$C$10, "")</f>
        <v/>
      </c>
      <c r="J726" s="68"/>
      <c r="K726" s="69"/>
      <c r="L726" s="102"/>
      <c r="M726" s="102"/>
      <c r="N726" s="68"/>
      <c r="O726" s="68"/>
      <c r="P726" s="106"/>
      <c r="Q726" s="107"/>
      <c r="R726" s="107"/>
      <c r="S726" s="107"/>
      <c r="T726" s="107"/>
    </row>
    <row r="727" spans="2:20" x14ac:dyDescent="0.25">
      <c r="B727" s="68"/>
      <c r="C727" s="68"/>
      <c r="D727" s="68"/>
      <c r="E727" s="68"/>
      <c r="F727" s="68"/>
      <c r="G727" s="95" t="str">
        <f t="shared" si="11"/>
        <v/>
      </c>
      <c r="H727" s="91" t="str">
        <f>IF(E727&lt;&gt;"",E727/'Project Summary'!$C$9,"")</f>
        <v/>
      </c>
      <c r="I727" s="97" t="str">
        <f>IF(F727&lt;&gt;"",F727/'Project Summary'!$C$10, "")</f>
        <v/>
      </c>
      <c r="J727" s="68"/>
      <c r="K727" s="69"/>
      <c r="L727" s="102"/>
      <c r="M727" s="102"/>
      <c r="N727" s="68"/>
      <c r="O727" s="68"/>
      <c r="P727" s="106"/>
      <c r="Q727" s="107"/>
      <c r="R727" s="107"/>
      <c r="S727" s="107"/>
      <c r="T727" s="107"/>
    </row>
    <row r="728" spans="2:20" x14ac:dyDescent="0.25">
      <c r="B728" s="68"/>
      <c r="C728" s="68"/>
      <c r="D728" s="68"/>
      <c r="E728" s="68"/>
      <c r="F728" s="68"/>
      <c r="G728" s="95" t="str">
        <f t="shared" si="11"/>
        <v/>
      </c>
      <c r="H728" s="91" t="str">
        <f>IF(E728&lt;&gt;"",E728/'Project Summary'!$C$9,"")</f>
        <v/>
      </c>
      <c r="I728" s="97" t="str">
        <f>IF(F728&lt;&gt;"",F728/'Project Summary'!$C$10, "")</f>
        <v/>
      </c>
      <c r="J728" s="68"/>
      <c r="K728" s="69"/>
      <c r="L728" s="102"/>
      <c r="M728" s="102"/>
      <c r="N728" s="68"/>
      <c r="O728" s="68"/>
      <c r="P728" s="106"/>
      <c r="Q728" s="107"/>
      <c r="R728" s="107"/>
      <c r="S728" s="107"/>
      <c r="T728" s="107"/>
    </row>
    <row r="729" spans="2:20" x14ac:dyDescent="0.25">
      <c r="B729" s="68"/>
      <c r="C729" s="68"/>
      <c r="D729" s="68"/>
      <c r="E729" s="68"/>
      <c r="F729" s="68"/>
      <c r="G729" s="95" t="str">
        <f t="shared" si="11"/>
        <v/>
      </c>
      <c r="H729" s="91" t="str">
        <f>IF(E729&lt;&gt;"",E729/'Project Summary'!$C$9,"")</f>
        <v/>
      </c>
      <c r="I729" s="97" t="str">
        <f>IF(F729&lt;&gt;"",F729/'Project Summary'!$C$10, "")</f>
        <v/>
      </c>
      <c r="J729" s="68"/>
      <c r="K729" s="69"/>
      <c r="L729" s="102"/>
      <c r="M729" s="102"/>
      <c r="N729" s="68"/>
      <c r="O729" s="68"/>
      <c r="P729" s="106"/>
      <c r="Q729" s="107"/>
      <c r="R729" s="107"/>
      <c r="S729" s="107"/>
      <c r="T729" s="107"/>
    </row>
    <row r="730" spans="2:20" x14ac:dyDescent="0.25">
      <c r="B730" s="68"/>
      <c r="C730" s="68"/>
      <c r="D730" s="68"/>
      <c r="E730" s="68"/>
      <c r="F730" s="68"/>
      <c r="G730" s="95" t="str">
        <f t="shared" si="11"/>
        <v/>
      </c>
      <c r="H730" s="91" t="str">
        <f>IF(E730&lt;&gt;"",E730/'Project Summary'!$C$9,"")</f>
        <v/>
      </c>
      <c r="I730" s="97" t="str">
        <f>IF(F730&lt;&gt;"",F730/'Project Summary'!$C$10, "")</f>
        <v/>
      </c>
      <c r="J730" s="68"/>
      <c r="K730" s="69"/>
      <c r="L730" s="102"/>
      <c r="M730" s="102"/>
      <c r="N730" s="68"/>
      <c r="O730" s="68"/>
      <c r="P730" s="106"/>
      <c r="Q730" s="107"/>
      <c r="R730" s="107"/>
      <c r="S730" s="107"/>
      <c r="T730" s="107"/>
    </row>
    <row r="731" spans="2:20" x14ac:dyDescent="0.25">
      <c r="B731" s="68"/>
      <c r="C731" s="68"/>
      <c r="D731" s="68"/>
      <c r="E731" s="68"/>
      <c r="F731" s="68"/>
      <c r="G731" s="95" t="str">
        <f t="shared" si="11"/>
        <v/>
      </c>
      <c r="H731" s="91" t="str">
        <f>IF(E731&lt;&gt;"",E731/'Project Summary'!$C$9,"")</f>
        <v/>
      </c>
      <c r="I731" s="97" t="str">
        <f>IF(F731&lt;&gt;"",F731/'Project Summary'!$C$10, "")</f>
        <v/>
      </c>
      <c r="J731" s="68"/>
      <c r="K731" s="69"/>
      <c r="L731" s="102"/>
      <c r="M731" s="102"/>
      <c r="N731" s="68"/>
      <c r="O731" s="68"/>
      <c r="P731" s="106"/>
      <c r="Q731" s="107"/>
      <c r="R731" s="107"/>
      <c r="S731" s="107"/>
      <c r="T731" s="107"/>
    </row>
    <row r="732" spans="2:20" x14ac:dyDescent="0.25">
      <c r="B732" s="68"/>
      <c r="C732" s="68"/>
      <c r="D732" s="68"/>
      <c r="E732" s="68"/>
      <c r="F732" s="68"/>
      <c r="G732" s="95" t="str">
        <f t="shared" si="11"/>
        <v/>
      </c>
      <c r="H732" s="91" t="str">
        <f>IF(E732&lt;&gt;"",E732/'Project Summary'!$C$9,"")</f>
        <v/>
      </c>
      <c r="I732" s="97" t="str">
        <f>IF(F732&lt;&gt;"",F732/'Project Summary'!$C$10, "")</f>
        <v/>
      </c>
      <c r="J732" s="68"/>
      <c r="K732" s="69"/>
      <c r="L732" s="102"/>
      <c r="M732" s="102"/>
      <c r="N732" s="68"/>
      <c r="O732" s="68"/>
      <c r="P732" s="106"/>
      <c r="Q732" s="107"/>
      <c r="R732" s="107"/>
      <c r="S732" s="107"/>
      <c r="T732" s="107"/>
    </row>
    <row r="733" spans="2:20" x14ac:dyDescent="0.25">
      <c r="B733" s="68"/>
      <c r="C733" s="68"/>
      <c r="D733" s="68"/>
      <c r="E733" s="68"/>
      <c r="F733" s="68"/>
      <c r="G733" s="95" t="str">
        <f t="shared" si="11"/>
        <v/>
      </c>
      <c r="H733" s="91" t="str">
        <f>IF(E733&lt;&gt;"",E733/'Project Summary'!$C$9,"")</f>
        <v/>
      </c>
      <c r="I733" s="97" t="str">
        <f>IF(F733&lt;&gt;"",F733/'Project Summary'!$C$10, "")</f>
        <v/>
      </c>
      <c r="J733" s="68"/>
      <c r="K733" s="69"/>
      <c r="L733" s="102"/>
      <c r="M733" s="102"/>
      <c r="N733" s="68"/>
      <c r="O733" s="68"/>
      <c r="P733" s="106"/>
      <c r="Q733" s="107"/>
      <c r="R733" s="107"/>
      <c r="S733" s="107"/>
      <c r="T733" s="107"/>
    </row>
    <row r="734" spans="2:20" x14ac:dyDescent="0.25">
      <c r="B734" s="68"/>
      <c r="C734" s="68"/>
      <c r="D734" s="68"/>
      <c r="E734" s="68"/>
      <c r="F734" s="68"/>
      <c r="G734" s="95" t="str">
        <f t="shared" si="11"/>
        <v/>
      </c>
      <c r="H734" s="91" t="str">
        <f>IF(E734&lt;&gt;"",E734/'Project Summary'!$C$9,"")</f>
        <v/>
      </c>
      <c r="I734" s="97" t="str">
        <f>IF(F734&lt;&gt;"",F734/'Project Summary'!$C$10, "")</f>
        <v/>
      </c>
      <c r="J734" s="68"/>
      <c r="K734" s="69"/>
      <c r="L734" s="102"/>
      <c r="M734" s="102"/>
      <c r="N734" s="68"/>
      <c r="O734" s="68"/>
      <c r="P734" s="106"/>
      <c r="Q734" s="107"/>
      <c r="R734" s="107"/>
      <c r="S734" s="107"/>
      <c r="T734" s="107"/>
    </row>
    <row r="735" spans="2:20" x14ac:dyDescent="0.25">
      <c r="B735" s="68"/>
      <c r="C735" s="68"/>
      <c r="D735" s="68"/>
      <c r="E735" s="68"/>
      <c r="F735" s="68"/>
      <c r="G735" s="95" t="str">
        <f t="shared" si="11"/>
        <v/>
      </c>
      <c r="H735" s="91" t="str">
        <f>IF(E735&lt;&gt;"",E735/'Project Summary'!$C$9,"")</f>
        <v/>
      </c>
      <c r="I735" s="97" t="str">
        <f>IF(F735&lt;&gt;"",F735/'Project Summary'!$C$10, "")</f>
        <v/>
      </c>
      <c r="J735" s="68"/>
      <c r="K735" s="69"/>
      <c r="L735" s="102"/>
      <c r="M735" s="102"/>
      <c r="N735" s="68"/>
      <c r="O735" s="68"/>
      <c r="P735" s="106"/>
      <c r="Q735" s="107"/>
      <c r="R735" s="107"/>
      <c r="S735" s="107"/>
      <c r="T735" s="107"/>
    </row>
    <row r="736" spans="2:20" x14ac:dyDescent="0.25">
      <c r="B736" s="68"/>
      <c r="C736" s="68"/>
      <c r="D736" s="68"/>
      <c r="E736" s="68"/>
      <c r="F736" s="68"/>
      <c r="G736" s="95" t="str">
        <f t="shared" si="11"/>
        <v/>
      </c>
      <c r="H736" s="91" t="str">
        <f>IF(E736&lt;&gt;"",E736/'Project Summary'!$C$9,"")</f>
        <v/>
      </c>
      <c r="I736" s="97" t="str">
        <f>IF(F736&lt;&gt;"",F736/'Project Summary'!$C$10, "")</f>
        <v/>
      </c>
      <c r="J736" s="68"/>
      <c r="K736" s="69"/>
      <c r="L736" s="102"/>
      <c r="M736" s="102"/>
      <c r="N736" s="68"/>
      <c r="O736" s="68"/>
      <c r="P736" s="106"/>
      <c r="Q736" s="107"/>
      <c r="R736" s="107"/>
      <c r="S736" s="107"/>
      <c r="T736" s="107"/>
    </row>
    <row r="737" spans="2:20" x14ac:dyDescent="0.25">
      <c r="B737" s="68"/>
      <c r="C737" s="68"/>
      <c r="D737" s="68"/>
      <c r="E737" s="68"/>
      <c r="F737" s="68"/>
      <c r="G737" s="95" t="str">
        <f t="shared" si="11"/>
        <v/>
      </c>
      <c r="H737" s="91" t="str">
        <f>IF(E737&lt;&gt;"",E737/'Project Summary'!$C$9,"")</f>
        <v/>
      </c>
      <c r="I737" s="97" t="str">
        <f>IF(F737&lt;&gt;"",F737/'Project Summary'!$C$10, "")</f>
        <v/>
      </c>
      <c r="J737" s="68"/>
      <c r="K737" s="69"/>
      <c r="L737" s="102"/>
      <c r="M737" s="102"/>
      <c r="N737" s="68"/>
      <c r="O737" s="68"/>
      <c r="P737" s="106"/>
      <c r="Q737" s="107"/>
      <c r="R737" s="107"/>
      <c r="S737" s="107"/>
      <c r="T737" s="107"/>
    </row>
    <row r="738" spans="2:20" x14ac:dyDescent="0.25">
      <c r="B738" s="68"/>
      <c r="C738" s="68"/>
      <c r="D738" s="68"/>
      <c r="E738" s="68"/>
      <c r="F738" s="68"/>
      <c r="G738" s="95" t="str">
        <f t="shared" si="11"/>
        <v/>
      </c>
      <c r="H738" s="91" t="str">
        <f>IF(E738&lt;&gt;"",E738/'Project Summary'!$C$9,"")</f>
        <v/>
      </c>
      <c r="I738" s="97" t="str">
        <f>IF(F738&lt;&gt;"",F738/'Project Summary'!$C$10, "")</f>
        <v/>
      </c>
      <c r="J738" s="68"/>
      <c r="K738" s="69"/>
      <c r="L738" s="102"/>
      <c r="M738" s="102"/>
      <c r="N738" s="68"/>
      <c r="O738" s="68"/>
      <c r="P738" s="106"/>
      <c r="Q738" s="107"/>
      <c r="R738" s="107"/>
      <c r="S738" s="107"/>
      <c r="T738" s="107"/>
    </row>
    <row r="739" spans="2:20" x14ac:dyDescent="0.25">
      <c r="B739" s="68"/>
      <c r="C739" s="68"/>
      <c r="D739" s="68"/>
      <c r="E739" s="68"/>
      <c r="F739" s="68"/>
      <c r="G739" s="95" t="str">
        <f t="shared" si="11"/>
        <v/>
      </c>
      <c r="H739" s="91" t="str">
        <f>IF(E739&lt;&gt;"",E739/'Project Summary'!$C$9,"")</f>
        <v/>
      </c>
      <c r="I739" s="97" t="str">
        <f>IF(F739&lt;&gt;"",F739/'Project Summary'!$C$10, "")</f>
        <v/>
      </c>
      <c r="J739" s="68"/>
      <c r="K739" s="69"/>
      <c r="L739" s="102"/>
      <c r="M739" s="102"/>
      <c r="N739" s="68"/>
      <c r="O739" s="68"/>
      <c r="P739" s="106"/>
      <c r="Q739" s="107"/>
      <c r="R739" s="107"/>
      <c r="S739" s="107"/>
      <c r="T739" s="107"/>
    </row>
    <row r="740" spans="2:20" x14ac:dyDescent="0.25">
      <c r="B740" s="68"/>
      <c r="C740" s="68"/>
      <c r="D740" s="68"/>
      <c r="E740" s="68"/>
      <c r="F740" s="68"/>
      <c r="G740" s="95" t="str">
        <f t="shared" si="11"/>
        <v/>
      </c>
      <c r="H740" s="91" t="str">
        <f>IF(E740&lt;&gt;"",E740/'Project Summary'!$C$9,"")</f>
        <v/>
      </c>
      <c r="I740" s="97" t="str">
        <f>IF(F740&lt;&gt;"",F740/'Project Summary'!$C$10, "")</f>
        <v/>
      </c>
      <c r="J740" s="68"/>
      <c r="K740" s="69"/>
      <c r="L740" s="102"/>
      <c r="M740" s="102"/>
      <c r="N740" s="68"/>
      <c r="O740" s="68"/>
      <c r="P740" s="106"/>
      <c r="Q740" s="107"/>
      <c r="R740" s="107"/>
      <c r="S740" s="107"/>
      <c r="T740" s="107"/>
    </row>
    <row r="741" spans="2:20" x14ac:dyDescent="0.25">
      <c r="B741" s="68"/>
      <c r="C741" s="68"/>
      <c r="D741" s="68"/>
      <c r="E741" s="68"/>
      <c r="F741" s="68"/>
      <c r="G741" s="95" t="str">
        <f t="shared" si="11"/>
        <v/>
      </c>
      <c r="H741" s="91" t="str">
        <f>IF(E741&lt;&gt;"",E741/'Project Summary'!$C$9,"")</f>
        <v/>
      </c>
      <c r="I741" s="97" t="str">
        <f>IF(F741&lt;&gt;"",F741/'Project Summary'!$C$10, "")</f>
        <v/>
      </c>
      <c r="J741" s="68"/>
      <c r="K741" s="69"/>
      <c r="L741" s="102"/>
      <c r="M741" s="102"/>
      <c r="N741" s="68"/>
      <c r="O741" s="68"/>
      <c r="P741" s="106"/>
      <c r="Q741" s="107"/>
      <c r="R741" s="107"/>
      <c r="S741" s="107"/>
      <c r="T741" s="107"/>
    </row>
    <row r="742" spans="2:20" x14ac:dyDescent="0.25">
      <c r="B742" s="68"/>
      <c r="C742" s="68"/>
      <c r="D742" s="68"/>
      <c r="E742" s="68"/>
      <c r="F742" s="68"/>
      <c r="G742" s="95" t="str">
        <f t="shared" si="11"/>
        <v/>
      </c>
      <c r="H742" s="91" t="str">
        <f>IF(E742&lt;&gt;"",E742/'Project Summary'!$C$9,"")</f>
        <v/>
      </c>
      <c r="I742" s="97" t="str">
        <f>IF(F742&lt;&gt;"",F742/'Project Summary'!$C$10, "")</f>
        <v/>
      </c>
      <c r="J742" s="68"/>
      <c r="K742" s="69"/>
      <c r="L742" s="102"/>
      <c r="M742" s="102"/>
      <c r="N742" s="68"/>
      <c r="O742" s="68"/>
      <c r="P742" s="106"/>
      <c r="Q742" s="107"/>
      <c r="R742" s="107"/>
      <c r="S742" s="107"/>
      <c r="T742" s="107"/>
    </row>
    <row r="743" spans="2:20" x14ac:dyDescent="0.25">
      <c r="B743" s="68"/>
      <c r="C743" s="68"/>
      <c r="D743" s="68"/>
      <c r="E743" s="68"/>
      <c r="F743" s="68"/>
      <c r="G743" s="95" t="str">
        <f t="shared" si="11"/>
        <v/>
      </c>
      <c r="H743" s="91" t="str">
        <f>IF(E743&lt;&gt;"",E743/'Project Summary'!$C$9,"")</f>
        <v/>
      </c>
      <c r="I743" s="97" t="str">
        <f>IF(F743&lt;&gt;"",F743/'Project Summary'!$C$10, "")</f>
        <v/>
      </c>
      <c r="J743" s="68"/>
      <c r="K743" s="69"/>
      <c r="L743" s="102"/>
      <c r="M743" s="102"/>
      <c r="N743" s="68"/>
      <c r="O743" s="68"/>
      <c r="P743" s="106"/>
      <c r="Q743" s="107"/>
      <c r="R743" s="107"/>
      <c r="S743" s="107"/>
      <c r="T743" s="107"/>
    </row>
    <row r="744" spans="2:20" x14ac:dyDescent="0.25">
      <c r="B744" s="68"/>
      <c r="C744" s="68"/>
      <c r="D744" s="68"/>
      <c r="E744" s="68"/>
      <c r="F744" s="68"/>
      <c r="G744" s="95" t="str">
        <f t="shared" si="11"/>
        <v/>
      </c>
      <c r="H744" s="91" t="str">
        <f>IF(E744&lt;&gt;"",E744/'Project Summary'!$C$9,"")</f>
        <v/>
      </c>
      <c r="I744" s="97" t="str">
        <f>IF(F744&lt;&gt;"",F744/'Project Summary'!$C$10, "")</f>
        <v/>
      </c>
      <c r="J744" s="68"/>
      <c r="K744" s="69"/>
      <c r="L744" s="102"/>
      <c r="M744" s="102"/>
      <c r="N744" s="68"/>
      <c r="O744" s="68"/>
      <c r="P744" s="106"/>
      <c r="Q744" s="107"/>
      <c r="R744" s="107"/>
      <c r="S744" s="107"/>
      <c r="T744" s="107"/>
    </row>
    <row r="745" spans="2:20" x14ac:dyDescent="0.25">
      <c r="B745" s="68"/>
      <c r="C745" s="68"/>
      <c r="D745" s="68"/>
      <c r="E745" s="68"/>
      <c r="F745" s="68"/>
      <c r="G745" s="95" t="str">
        <f t="shared" si="11"/>
        <v/>
      </c>
      <c r="H745" s="91" t="str">
        <f>IF(E745&lt;&gt;"",E745/'Project Summary'!$C$9,"")</f>
        <v/>
      </c>
      <c r="I745" s="97" t="str">
        <f>IF(F745&lt;&gt;"",F745/'Project Summary'!$C$10, "")</f>
        <v/>
      </c>
      <c r="J745" s="68"/>
      <c r="K745" s="69"/>
      <c r="L745" s="102"/>
      <c r="M745" s="102"/>
      <c r="N745" s="68"/>
      <c r="O745" s="68"/>
      <c r="P745" s="106"/>
      <c r="Q745" s="107"/>
      <c r="R745" s="107"/>
      <c r="S745" s="107"/>
      <c r="T745" s="107"/>
    </row>
    <row r="746" spans="2:20" x14ac:dyDescent="0.25">
      <c r="B746" s="68"/>
      <c r="C746" s="68"/>
      <c r="D746" s="68"/>
      <c r="E746" s="68"/>
      <c r="F746" s="68"/>
      <c r="G746" s="95" t="str">
        <f t="shared" si="11"/>
        <v/>
      </c>
      <c r="H746" s="91" t="str">
        <f>IF(E746&lt;&gt;"",E746/'Project Summary'!$C$9,"")</f>
        <v/>
      </c>
      <c r="I746" s="97" t="str">
        <f>IF(F746&lt;&gt;"",F746/'Project Summary'!$C$10, "")</f>
        <v/>
      </c>
      <c r="J746" s="68"/>
      <c r="K746" s="69"/>
      <c r="L746" s="102"/>
      <c r="M746" s="102"/>
      <c r="N746" s="68"/>
      <c r="O746" s="68"/>
      <c r="P746" s="106"/>
      <c r="Q746" s="107"/>
      <c r="R746" s="107"/>
      <c r="S746" s="107"/>
      <c r="T746" s="107"/>
    </row>
    <row r="747" spans="2:20" x14ac:dyDescent="0.25">
      <c r="B747" s="68"/>
      <c r="C747" s="68"/>
      <c r="D747" s="68"/>
      <c r="E747" s="68"/>
      <c r="F747" s="68"/>
      <c r="G747" s="95" t="str">
        <f t="shared" si="11"/>
        <v/>
      </c>
      <c r="H747" s="91" t="str">
        <f>IF(E747&lt;&gt;"",E747/'Project Summary'!$C$9,"")</f>
        <v/>
      </c>
      <c r="I747" s="97" t="str">
        <f>IF(F747&lt;&gt;"",F747/'Project Summary'!$C$10, "")</f>
        <v/>
      </c>
      <c r="J747" s="68"/>
      <c r="K747" s="69"/>
      <c r="L747" s="102"/>
      <c r="M747" s="102"/>
      <c r="N747" s="68"/>
      <c r="O747" s="68"/>
      <c r="P747" s="106"/>
      <c r="Q747" s="107"/>
      <c r="R747" s="107"/>
      <c r="S747" s="107"/>
      <c r="T747" s="107"/>
    </row>
    <row r="748" spans="2:20" x14ac:dyDescent="0.25">
      <c r="B748" s="68"/>
      <c r="C748" s="68"/>
      <c r="D748" s="68"/>
      <c r="E748" s="68"/>
      <c r="F748" s="68"/>
      <c r="G748" s="95" t="str">
        <f t="shared" si="11"/>
        <v/>
      </c>
      <c r="H748" s="91" t="str">
        <f>IF(E748&lt;&gt;"",E748/'Project Summary'!$C$9,"")</f>
        <v/>
      </c>
      <c r="I748" s="97" t="str">
        <f>IF(F748&lt;&gt;"",F748/'Project Summary'!$C$10, "")</f>
        <v/>
      </c>
      <c r="J748" s="68"/>
      <c r="K748" s="69"/>
      <c r="L748" s="102"/>
      <c r="M748" s="102"/>
      <c r="N748" s="68"/>
      <c r="O748" s="68"/>
      <c r="P748" s="106"/>
      <c r="Q748" s="107"/>
      <c r="R748" s="107"/>
      <c r="S748" s="107"/>
      <c r="T748" s="107"/>
    </row>
    <row r="749" spans="2:20" x14ac:dyDescent="0.25">
      <c r="B749" s="68"/>
      <c r="C749" s="68"/>
      <c r="D749" s="68"/>
      <c r="E749" s="68"/>
      <c r="F749" s="68"/>
      <c r="G749" s="95" t="str">
        <f t="shared" si="11"/>
        <v/>
      </c>
      <c r="H749" s="91" t="str">
        <f>IF(E749&lt;&gt;"",E749/'Project Summary'!$C$9,"")</f>
        <v/>
      </c>
      <c r="I749" s="97" t="str">
        <f>IF(F749&lt;&gt;"",F749/'Project Summary'!$C$10, "")</f>
        <v/>
      </c>
      <c r="J749" s="68"/>
      <c r="K749" s="69"/>
      <c r="L749" s="102"/>
      <c r="M749" s="102"/>
      <c r="N749" s="68"/>
      <c r="O749" s="68"/>
      <c r="P749" s="106"/>
      <c r="Q749" s="107"/>
      <c r="R749" s="107"/>
      <c r="S749" s="107"/>
      <c r="T749" s="107"/>
    </row>
    <row r="750" spans="2:20" x14ac:dyDescent="0.25">
      <c r="B750" s="68"/>
      <c r="C750" s="68"/>
      <c r="D750" s="68"/>
      <c r="E750" s="68"/>
      <c r="F750" s="68"/>
      <c r="G750" s="95" t="str">
        <f t="shared" si="11"/>
        <v/>
      </c>
      <c r="H750" s="91" t="str">
        <f>IF(E750&lt;&gt;"",E750/'Project Summary'!$C$9,"")</f>
        <v/>
      </c>
      <c r="I750" s="97" t="str">
        <f>IF(F750&lt;&gt;"",F750/'Project Summary'!$C$10, "")</f>
        <v/>
      </c>
      <c r="J750" s="68"/>
      <c r="K750" s="69"/>
      <c r="L750" s="102"/>
      <c r="M750" s="102"/>
      <c r="N750" s="68"/>
      <c r="O750" s="68"/>
      <c r="P750" s="106"/>
      <c r="Q750" s="107"/>
      <c r="R750" s="107"/>
      <c r="S750" s="107"/>
      <c r="T750" s="107"/>
    </row>
    <row r="751" spans="2:20" x14ac:dyDescent="0.25">
      <c r="B751" s="68"/>
      <c r="C751" s="68"/>
      <c r="D751" s="68"/>
      <c r="E751" s="68"/>
      <c r="F751" s="68"/>
      <c r="G751" s="95" t="str">
        <f t="shared" si="11"/>
        <v/>
      </c>
      <c r="H751" s="91" t="str">
        <f>IF(E751&lt;&gt;"",E751/'Project Summary'!$C$9,"")</f>
        <v/>
      </c>
      <c r="I751" s="97" t="str">
        <f>IF(F751&lt;&gt;"",F751/'Project Summary'!$C$10, "")</f>
        <v/>
      </c>
      <c r="J751" s="68"/>
      <c r="K751" s="69"/>
      <c r="L751" s="102"/>
      <c r="M751" s="102"/>
      <c r="N751" s="68"/>
      <c r="O751" s="68"/>
      <c r="P751" s="106"/>
      <c r="Q751" s="107"/>
      <c r="R751" s="107"/>
      <c r="S751" s="107"/>
      <c r="T751" s="107"/>
    </row>
    <row r="752" spans="2:20" x14ac:dyDescent="0.25">
      <c r="B752" s="68"/>
      <c r="C752" s="68"/>
      <c r="D752" s="68"/>
      <c r="E752" s="68"/>
      <c r="F752" s="68"/>
      <c r="G752" s="95" t="str">
        <f t="shared" si="11"/>
        <v/>
      </c>
      <c r="H752" s="91" t="str">
        <f>IF(E752&lt;&gt;"",E752/'Project Summary'!$C$9,"")</f>
        <v/>
      </c>
      <c r="I752" s="97" t="str">
        <f>IF(F752&lt;&gt;"",F752/'Project Summary'!$C$10, "")</f>
        <v/>
      </c>
      <c r="J752" s="68"/>
      <c r="K752" s="69"/>
      <c r="L752" s="102"/>
      <c r="M752" s="102"/>
      <c r="N752" s="68"/>
      <c r="O752" s="68"/>
      <c r="P752" s="106"/>
      <c r="Q752" s="107"/>
      <c r="R752" s="107"/>
      <c r="S752" s="107"/>
      <c r="T752" s="107"/>
    </row>
    <row r="753" spans="2:20" x14ac:dyDescent="0.25">
      <c r="B753" s="68"/>
      <c r="C753" s="68"/>
      <c r="D753" s="68"/>
      <c r="E753" s="68"/>
      <c r="F753" s="68"/>
      <c r="G753" s="95" t="str">
        <f t="shared" si="11"/>
        <v/>
      </c>
      <c r="H753" s="91" t="str">
        <f>IF(E753&lt;&gt;"",E753/'Project Summary'!$C$9,"")</f>
        <v/>
      </c>
      <c r="I753" s="97" t="str">
        <f>IF(F753&lt;&gt;"",F753/'Project Summary'!$C$10, "")</f>
        <v/>
      </c>
      <c r="J753" s="68"/>
      <c r="K753" s="69"/>
      <c r="L753" s="102"/>
      <c r="M753" s="102"/>
      <c r="N753" s="68"/>
      <c r="O753" s="68"/>
      <c r="P753" s="106"/>
      <c r="Q753" s="107"/>
      <c r="R753" s="107"/>
      <c r="S753" s="107"/>
      <c r="T753" s="107"/>
    </row>
    <row r="754" spans="2:20" x14ac:dyDescent="0.25">
      <c r="B754" s="68"/>
      <c r="C754" s="68"/>
      <c r="D754" s="68"/>
      <c r="E754" s="68"/>
      <c r="F754" s="68"/>
      <c r="G754" s="95" t="str">
        <f t="shared" si="11"/>
        <v/>
      </c>
      <c r="H754" s="91" t="str">
        <f>IF(E754&lt;&gt;"",E754/'Project Summary'!$C$9,"")</f>
        <v/>
      </c>
      <c r="I754" s="97" t="str">
        <f>IF(F754&lt;&gt;"",F754/'Project Summary'!$C$10, "")</f>
        <v/>
      </c>
      <c r="J754" s="68"/>
      <c r="K754" s="69"/>
      <c r="L754" s="102"/>
      <c r="M754" s="102"/>
      <c r="N754" s="68"/>
      <c r="O754" s="68"/>
      <c r="P754" s="106"/>
      <c r="Q754" s="107"/>
      <c r="R754" s="107"/>
      <c r="S754" s="107"/>
      <c r="T754" s="107"/>
    </row>
    <row r="755" spans="2:20" x14ac:dyDescent="0.25">
      <c r="B755" s="68"/>
      <c r="C755" s="68"/>
      <c r="D755" s="68"/>
      <c r="E755" s="68"/>
      <c r="F755" s="68"/>
      <c r="G755" s="95" t="str">
        <f t="shared" si="11"/>
        <v/>
      </c>
      <c r="H755" s="91" t="str">
        <f>IF(E755&lt;&gt;"",E755/'Project Summary'!$C$9,"")</f>
        <v/>
      </c>
      <c r="I755" s="97" t="str">
        <f>IF(F755&lt;&gt;"",F755/'Project Summary'!$C$10, "")</f>
        <v/>
      </c>
      <c r="J755" s="68"/>
      <c r="K755" s="69"/>
      <c r="L755" s="102"/>
      <c r="M755" s="102"/>
      <c r="N755" s="68"/>
      <c r="O755" s="68"/>
      <c r="P755" s="106"/>
      <c r="Q755" s="107"/>
      <c r="R755" s="107"/>
      <c r="S755" s="107"/>
      <c r="T755" s="107"/>
    </row>
    <row r="756" spans="2:20" x14ac:dyDescent="0.25">
      <c r="B756" s="68"/>
      <c r="C756" s="68"/>
      <c r="D756" s="68"/>
      <c r="E756" s="68"/>
      <c r="F756" s="68"/>
      <c r="G756" s="95" t="str">
        <f t="shared" si="11"/>
        <v/>
      </c>
      <c r="H756" s="91" t="str">
        <f>IF(E756&lt;&gt;"",E756/'Project Summary'!$C$9,"")</f>
        <v/>
      </c>
      <c r="I756" s="97" t="str">
        <f>IF(F756&lt;&gt;"",F756/'Project Summary'!$C$10, "")</f>
        <v/>
      </c>
      <c r="J756" s="68"/>
      <c r="K756" s="69"/>
      <c r="L756" s="102"/>
      <c r="M756" s="102"/>
      <c r="N756" s="68"/>
      <c r="O756" s="68"/>
      <c r="P756" s="106"/>
      <c r="Q756" s="107"/>
      <c r="R756" s="107"/>
      <c r="S756" s="107"/>
      <c r="T756" s="107"/>
    </row>
    <row r="757" spans="2:20" x14ac:dyDescent="0.25">
      <c r="B757" s="68"/>
      <c r="C757" s="68"/>
      <c r="D757" s="68"/>
      <c r="E757" s="68"/>
      <c r="F757" s="68"/>
      <c r="G757" s="95" t="str">
        <f t="shared" si="11"/>
        <v/>
      </c>
      <c r="H757" s="91" t="str">
        <f>IF(E757&lt;&gt;"",E757/'Project Summary'!$C$9,"")</f>
        <v/>
      </c>
      <c r="I757" s="97" t="str">
        <f>IF(F757&lt;&gt;"",F757/'Project Summary'!$C$10, "")</f>
        <v/>
      </c>
      <c r="J757" s="68"/>
      <c r="K757" s="69"/>
      <c r="L757" s="102"/>
      <c r="M757" s="102"/>
      <c r="N757" s="68"/>
      <c r="O757" s="68"/>
      <c r="P757" s="106"/>
      <c r="Q757" s="107"/>
      <c r="R757" s="107"/>
      <c r="S757" s="107"/>
      <c r="T757" s="107"/>
    </row>
    <row r="758" spans="2:20" x14ac:dyDescent="0.25">
      <c r="B758" s="68"/>
      <c r="C758" s="68"/>
      <c r="D758" s="68"/>
      <c r="E758" s="68"/>
      <c r="F758" s="68"/>
      <c r="G758" s="95" t="str">
        <f t="shared" si="11"/>
        <v/>
      </c>
      <c r="H758" s="91" t="str">
        <f>IF(E758&lt;&gt;"",E758/'Project Summary'!$C$9,"")</f>
        <v/>
      </c>
      <c r="I758" s="97" t="str">
        <f>IF(F758&lt;&gt;"",F758/'Project Summary'!$C$10, "")</f>
        <v/>
      </c>
      <c r="J758" s="68"/>
      <c r="K758" s="69"/>
      <c r="L758" s="102"/>
      <c r="M758" s="102"/>
      <c r="N758" s="68"/>
      <c r="O758" s="68"/>
      <c r="P758" s="106"/>
      <c r="Q758" s="107"/>
      <c r="R758" s="107"/>
      <c r="S758" s="107"/>
      <c r="T758" s="107"/>
    </row>
    <row r="759" spans="2:20" x14ac:dyDescent="0.25">
      <c r="B759" s="68"/>
      <c r="C759" s="68"/>
      <c r="D759" s="68"/>
      <c r="E759" s="68"/>
      <c r="F759" s="68"/>
      <c r="G759" s="95" t="str">
        <f t="shared" si="11"/>
        <v/>
      </c>
      <c r="H759" s="91" t="str">
        <f>IF(E759&lt;&gt;"",E759/'Project Summary'!$C$9,"")</f>
        <v/>
      </c>
      <c r="I759" s="97" t="str">
        <f>IF(F759&lt;&gt;"",F759/'Project Summary'!$C$10, "")</f>
        <v/>
      </c>
      <c r="J759" s="68"/>
      <c r="K759" s="69"/>
      <c r="L759" s="102"/>
      <c r="M759" s="102"/>
      <c r="N759" s="68"/>
      <c r="O759" s="68"/>
      <c r="P759" s="106"/>
      <c r="Q759" s="107"/>
      <c r="R759" s="107"/>
      <c r="S759" s="107"/>
      <c r="T759" s="107"/>
    </row>
    <row r="760" spans="2:20" x14ac:dyDescent="0.25">
      <c r="B760" s="68"/>
      <c r="C760" s="68"/>
      <c r="D760" s="68"/>
      <c r="E760" s="68"/>
      <c r="F760" s="68"/>
      <c r="G760" s="95" t="str">
        <f t="shared" si="11"/>
        <v/>
      </c>
      <c r="H760" s="91" t="str">
        <f>IF(E760&lt;&gt;"",E760/'Project Summary'!$C$9,"")</f>
        <v/>
      </c>
      <c r="I760" s="97" t="str">
        <f>IF(F760&lt;&gt;"",F760/'Project Summary'!$C$10, "")</f>
        <v/>
      </c>
      <c r="J760" s="68"/>
      <c r="K760" s="69"/>
      <c r="L760" s="102"/>
      <c r="M760" s="102"/>
      <c r="N760" s="68"/>
      <c r="O760" s="68"/>
      <c r="P760" s="106"/>
      <c r="Q760" s="107"/>
      <c r="R760" s="107"/>
      <c r="S760" s="107"/>
      <c r="T760" s="107"/>
    </row>
    <row r="761" spans="2:20" x14ac:dyDescent="0.25">
      <c r="B761" s="68"/>
      <c r="C761" s="68"/>
      <c r="D761" s="68"/>
      <c r="E761" s="68"/>
      <c r="F761" s="68"/>
      <c r="G761" s="95" t="str">
        <f t="shared" si="11"/>
        <v/>
      </c>
      <c r="H761" s="91" t="str">
        <f>IF(E761&lt;&gt;"",E761/'Project Summary'!$C$9,"")</f>
        <v/>
      </c>
      <c r="I761" s="97" t="str">
        <f>IF(F761&lt;&gt;"",F761/'Project Summary'!$C$10, "")</f>
        <v/>
      </c>
      <c r="J761" s="68"/>
      <c r="K761" s="69"/>
      <c r="L761" s="102"/>
      <c r="M761" s="102"/>
      <c r="N761" s="68"/>
      <c r="O761" s="68"/>
      <c r="P761" s="106"/>
      <c r="Q761" s="107"/>
      <c r="R761" s="107"/>
      <c r="S761" s="107"/>
      <c r="T761" s="107"/>
    </row>
    <row r="762" spans="2:20" x14ac:dyDescent="0.25">
      <c r="B762" s="68"/>
      <c r="C762" s="68"/>
      <c r="D762" s="68"/>
      <c r="E762" s="68"/>
      <c r="F762" s="68"/>
      <c r="G762" s="95" t="str">
        <f t="shared" si="11"/>
        <v/>
      </c>
      <c r="H762" s="91" t="str">
        <f>IF(E762&lt;&gt;"",E762/'Project Summary'!$C$9,"")</f>
        <v/>
      </c>
      <c r="I762" s="97" t="str">
        <f>IF(F762&lt;&gt;"",F762/'Project Summary'!$C$10, "")</f>
        <v/>
      </c>
      <c r="J762" s="68"/>
      <c r="K762" s="69"/>
      <c r="L762" s="102"/>
      <c r="M762" s="102"/>
      <c r="N762" s="68"/>
      <c r="O762" s="68"/>
      <c r="P762" s="106"/>
      <c r="Q762" s="107"/>
      <c r="R762" s="107"/>
      <c r="S762" s="107"/>
      <c r="T762" s="107"/>
    </row>
    <row r="763" spans="2:20" x14ac:dyDescent="0.25">
      <c r="B763" s="68"/>
      <c r="C763" s="68"/>
      <c r="D763" s="68"/>
      <c r="E763" s="68"/>
      <c r="F763" s="68"/>
      <c r="G763" s="95" t="str">
        <f t="shared" si="11"/>
        <v/>
      </c>
      <c r="H763" s="91" t="str">
        <f>IF(E763&lt;&gt;"",E763/'Project Summary'!$C$9,"")</f>
        <v/>
      </c>
      <c r="I763" s="97" t="str">
        <f>IF(F763&lt;&gt;"",F763/'Project Summary'!$C$10, "")</f>
        <v/>
      </c>
      <c r="J763" s="68"/>
      <c r="K763" s="69"/>
      <c r="L763" s="102"/>
      <c r="M763" s="102"/>
      <c r="N763" s="68"/>
      <c r="O763" s="68"/>
      <c r="P763" s="106"/>
      <c r="Q763" s="107"/>
      <c r="R763" s="107"/>
      <c r="S763" s="107"/>
      <c r="T763" s="107"/>
    </row>
    <row r="764" spans="2:20" x14ac:dyDescent="0.25">
      <c r="B764" s="68"/>
      <c r="C764" s="68"/>
      <c r="D764" s="68"/>
      <c r="E764" s="68"/>
      <c r="F764" s="68"/>
      <c r="G764" s="95" t="str">
        <f t="shared" si="11"/>
        <v/>
      </c>
      <c r="H764" s="91" t="str">
        <f>IF(E764&lt;&gt;"",E764/'Project Summary'!$C$9,"")</f>
        <v/>
      </c>
      <c r="I764" s="97" t="str">
        <f>IF(F764&lt;&gt;"",F764/'Project Summary'!$C$10, "")</f>
        <v/>
      </c>
      <c r="J764" s="68"/>
      <c r="K764" s="69"/>
      <c r="L764" s="102"/>
      <c r="M764" s="102"/>
      <c r="N764" s="68"/>
      <c r="O764" s="68"/>
      <c r="P764" s="106"/>
      <c r="Q764" s="107"/>
      <c r="R764" s="107"/>
      <c r="S764" s="107"/>
      <c r="T764" s="107"/>
    </row>
    <row r="765" spans="2:20" x14ac:dyDescent="0.25">
      <c r="B765" s="68"/>
      <c r="C765" s="68"/>
      <c r="D765" s="68"/>
      <c r="E765" s="68"/>
      <c r="F765" s="68"/>
      <c r="G765" s="95" t="str">
        <f t="shared" si="11"/>
        <v/>
      </c>
      <c r="H765" s="91" t="str">
        <f>IF(E765&lt;&gt;"",E765/'Project Summary'!$C$9,"")</f>
        <v/>
      </c>
      <c r="I765" s="97" t="str">
        <f>IF(F765&lt;&gt;"",F765/'Project Summary'!$C$10, "")</f>
        <v/>
      </c>
      <c r="J765" s="68"/>
      <c r="K765" s="69"/>
      <c r="L765" s="102"/>
      <c r="M765" s="102"/>
      <c r="N765" s="68"/>
      <c r="O765" s="68"/>
      <c r="P765" s="106"/>
      <c r="Q765" s="107"/>
      <c r="R765" s="107"/>
      <c r="S765" s="107"/>
      <c r="T765" s="107"/>
    </row>
    <row r="766" spans="2:20" x14ac:dyDescent="0.25">
      <c r="B766" s="68"/>
      <c r="C766" s="68"/>
      <c r="D766" s="68"/>
      <c r="E766" s="68"/>
      <c r="F766" s="68"/>
      <c r="G766" s="95" t="str">
        <f t="shared" si="11"/>
        <v/>
      </c>
      <c r="H766" s="91" t="str">
        <f>IF(E766&lt;&gt;"",E766/'Project Summary'!$C$9,"")</f>
        <v/>
      </c>
      <c r="I766" s="97" t="str">
        <f>IF(F766&lt;&gt;"",F766/'Project Summary'!$C$10, "")</f>
        <v/>
      </c>
      <c r="J766" s="68"/>
      <c r="K766" s="69"/>
      <c r="L766" s="102"/>
      <c r="M766" s="102"/>
      <c r="N766" s="68"/>
      <c r="O766" s="68"/>
      <c r="P766" s="106"/>
      <c r="Q766" s="107"/>
      <c r="R766" s="107"/>
      <c r="S766" s="107"/>
      <c r="T766" s="107"/>
    </row>
    <row r="767" spans="2:20" x14ac:dyDescent="0.25">
      <c r="B767" s="68"/>
      <c r="C767" s="68"/>
      <c r="D767" s="68"/>
      <c r="E767" s="68"/>
      <c r="F767" s="68"/>
      <c r="G767" s="95" t="str">
        <f t="shared" si="11"/>
        <v/>
      </c>
      <c r="H767" s="91" t="str">
        <f>IF(E767&lt;&gt;"",E767/'Project Summary'!$C$9,"")</f>
        <v/>
      </c>
      <c r="I767" s="97" t="str">
        <f>IF(F767&lt;&gt;"",F767/'Project Summary'!$C$10, "")</f>
        <v/>
      </c>
      <c r="J767" s="68"/>
      <c r="K767" s="69"/>
      <c r="L767" s="102"/>
      <c r="M767" s="102"/>
      <c r="N767" s="68"/>
      <c r="O767" s="68"/>
      <c r="P767" s="106"/>
      <c r="Q767" s="107"/>
      <c r="R767" s="107"/>
      <c r="S767" s="107"/>
      <c r="T767" s="107"/>
    </row>
    <row r="768" spans="2:20" x14ac:dyDescent="0.25">
      <c r="B768" s="68"/>
      <c r="C768" s="68"/>
      <c r="D768" s="68"/>
      <c r="E768" s="68"/>
      <c r="F768" s="68"/>
      <c r="G768" s="95" t="str">
        <f t="shared" si="11"/>
        <v/>
      </c>
      <c r="H768" s="91" t="str">
        <f>IF(E768&lt;&gt;"",E768/'Project Summary'!$C$9,"")</f>
        <v/>
      </c>
      <c r="I768" s="97" t="str">
        <f>IF(F768&lt;&gt;"",F768/'Project Summary'!$C$10, "")</f>
        <v/>
      </c>
      <c r="J768" s="68"/>
      <c r="K768" s="69"/>
      <c r="L768" s="102"/>
      <c r="M768" s="102"/>
      <c r="N768" s="68"/>
      <c r="O768" s="68"/>
      <c r="P768" s="106"/>
      <c r="Q768" s="107"/>
      <c r="R768" s="107"/>
      <c r="S768" s="107"/>
      <c r="T768" s="107"/>
    </row>
    <row r="769" spans="2:20" x14ac:dyDescent="0.25">
      <c r="B769" s="68"/>
      <c r="C769" s="68"/>
      <c r="D769" s="68"/>
      <c r="E769" s="68"/>
      <c r="F769" s="68"/>
      <c r="G769" s="95" t="str">
        <f t="shared" si="11"/>
        <v/>
      </c>
      <c r="H769" s="91" t="str">
        <f>IF(E769&lt;&gt;"",E769/'Project Summary'!$C$9,"")</f>
        <v/>
      </c>
      <c r="I769" s="97" t="str">
        <f>IF(F769&lt;&gt;"",F769/'Project Summary'!$C$10, "")</f>
        <v/>
      </c>
      <c r="J769" s="68"/>
      <c r="K769" s="69"/>
      <c r="L769" s="102"/>
      <c r="M769" s="102"/>
      <c r="N769" s="68"/>
      <c r="O769" s="68"/>
      <c r="P769" s="106"/>
      <c r="Q769" s="107"/>
      <c r="R769" s="107"/>
      <c r="S769" s="107"/>
      <c r="T769" s="107"/>
    </row>
    <row r="770" spans="2:20" x14ac:dyDescent="0.25">
      <c r="B770" s="68"/>
      <c r="C770" s="68"/>
      <c r="D770" s="68"/>
      <c r="E770" s="68"/>
      <c r="F770" s="68"/>
      <c r="G770" s="95" t="str">
        <f t="shared" si="11"/>
        <v/>
      </c>
      <c r="H770" s="91" t="str">
        <f>IF(E770&lt;&gt;"",E770/'Project Summary'!$C$9,"")</f>
        <v/>
      </c>
      <c r="I770" s="97" t="str">
        <f>IF(F770&lt;&gt;"",F770/'Project Summary'!$C$10, "")</f>
        <v/>
      </c>
      <c r="J770" s="68"/>
      <c r="K770" s="69"/>
      <c r="L770" s="102"/>
      <c r="M770" s="102"/>
      <c r="N770" s="68"/>
      <c r="O770" s="68"/>
      <c r="P770" s="106"/>
      <c r="Q770" s="107"/>
      <c r="R770" s="107"/>
      <c r="S770" s="107"/>
      <c r="T770" s="107"/>
    </row>
    <row r="771" spans="2:20" x14ac:dyDescent="0.25">
      <c r="B771" s="68"/>
      <c r="C771" s="68"/>
      <c r="D771" s="68"/>
      <c r="E771" s="68"/>
      <c r="F771" s="68"/>
      <c r="G771" s="95" t="str">
        <f t="shared" si="11"/>
        <v/>
      </c>
      <c r="H771" s="91" t="str">
        <f>IF(E771&lt;&gt;"",E771/'Project Summary'!$C$9,"")</f>
        <v/>
      </c>
      <c r="I771" s="97" t="str">
        <f>IF(F771&lt;&gt;"",F771/'Project Summary'!$C$10, "")</f>
        <v/>
      </c>
      <c r="J771" s="68"/>
      <c r="K771" s="69"/>
      <c r="L771" s="102"/>
      <c r="M771" s="102"/>
      <c r="N771" s="68"/>
      <c r="O771" s="68"/>
      <c r="P771" s="106"/>
      <c r="Q771" s="107"/>
      <c r="R771" s="107"/>
      <c r="S771" s="107"/>
      <c r="T771" s="107"/>
    </row>
    <row r="772" spans="2:20" x14ac:dyDescent="0.25">
      <c r="B772" s="68"/>
      <c r="C772" s="68"/>
      <c r="D772" s="68"/>
      <c r="E772" s="68"/>
      <c r="F772" s="68"/>
      <c r="G772" s="95" t="str">
        <f t="shared" si="11"/>
        <v/>
      </c>
      <c r="H772" s="91" t="str">
        <f>IF(E772&lt;&gt;"",E772/'Project Summary'!$C$9,"")</f>
        <v/>
      </c>
      <c r="I772" s="97" t="str">
        <f>IF(F772&lt;&gt;"",F772/'Project Summary'!$C$10, "")</f>
        <v/>
      </c>
      <c r="J772" s="68"/>
      <c r="K772" s="69"/>
      <c r="L772" s="102"/>
      <c r="M772" s="102"/>
      <c r="N772" s="68"/>
      <c r="O772" s="68"/>
      <c r="P772" s="106"/>
      <c r="Q772" s="107"/>
      <c r="R772" s="107"/>
      <c r="S772" s="107"/>
      <c r="T772" s="107"/>
    </row>
    <row r="773" spans="2:20" x14ac:dyDescent="0.25">
      <c r="B773" s="68"/>
      <c r="C773" s="68"/>
      <c r="D773" s="68"/>
      <c r="E773" s="68"/>
      <c r="F773" s="68"/>
      <c r="G773" s="95" t="str">
        <f t="shared" si="11"/>
        <v/>
      </c>
      <c r="H773" s="91" t="str">
        <f>IF(E773&lt;&gt;"",E773/'Project Summary'!$C$9,"")</f>
        <v/>
      </c>
      <c r="I773" s="97" t="str">
        <f>IF(F773&lt;&gt;"",F773/'Project Summary'!$C$10, "")</f>
        <v/>
      </c>
      <c r="J773" s="68"/>
      <c r="K773" s="69"/>
      <c r="L773" s="102"/>
      <c r="M773" s="102"/>
      <c r="N773" s="68"/>
      <c r="O773" s="68"/>
      <c r="P773" s="106"/>
      <c r="Q773" s="107"/>
      <c r="R773" s="107"/>
      <c r="S773" s="107"/>
      <c r="T773" s="107"/>
    </row>
    <row r="774" spans="2:20" x14ac:dyDescent="0.25">
      <c r="B774" s="68"/>
      <c r="C774" s="68"/>
      <c r="D774" s="68"/>
      <c r="E774" s="68"/>
      <c r="F774" s="68"/>
      <c r="G774" s="95" t="str">
        <f t="shared" si="11"/>
        <v/>
      </c>
      <c r="H774" s="91" t="str">
        <f>IF(E774&lt;&gt;"",E774/'Project Summary'!$C$9,"")</f>
        <v/>
      </c>
      <c r="I774" s="97" t="str">
        <f>IF(F774&lt;&gt;"",F774/'Project Summary'!$C$10, "")</f>
        <v/>
      </c>
      <c r="J774" s="68"/>
      <c r="K774" s="69"/>
      <c r="L774" s="102"/>
      <c r="M774" s="102"/>
      <c r="N774" s="68"/>
      <c r="O774" s="68"/>
      <c r="P774" s="106"/>
      <c r="Q774" s="107"/>
      <c r="R774" s="107"/>
      <c r="S774" s="107"/>
      <c r="T774" s="107"/>
    </row>
    <row r="775" spans="2:20" x14ac:dyDescent="0.25">
      <c r="B775" s="68"/>
      <c r="C775" s="68"/>
      <c r="D775" s="68"/>
      <c r="E775" s="68"/>
      <c r="F775" s="68"/>
      <c r="G775" s="95" t="str">
        <f t="shared" si="11"/>
        <v/>
      </c>
      <c r="H775" s="91" t="str">
        <f>IF(E775&lt;&gt;"",E775/'Project Summary'!$C$9,"")</f>
        <v/>
      </c>
      <c r="I775" s="97" t="str">
        <f>IF(F775&lt;&gt;"",F775/'Project Summary'!$C$10, "")</f>
        <v/>
      </c>
      <c r="J775" s="68"/>
      <c r="K775" s="69"/>
      <c r="L775" s="102"/>
      <c r="M775" s="102"/>
      <c r="N775" s="68"/>
      <c r="O775" s="68"/>
      <c r="P775" s="106"/>
      <c r="Q775" s="107"/>
      <c r="R775" s="107"/>
      <c r="S775" s="107"/>
      <c r="T775" s="107"/>
    </row>
    <row r="776" spans="2:20" x14ac:dyDescent="0.25">
      <c r="B776" s="68"/>
      <c r="C776" s="68"/>
      <c r="D776" s="68"/>
      <c r="E776" s="68"/>
      <c r="F776" s="68"/>
      <c r="G776" s="95" t="str">
        <f t="shared" si="11"/>
        <v/>
      </c>
      <c r="H776" s="91" t="str">
        <f>IF(E776&lt;&gt;"",E776/'Project Summary'!$C$9,"")</f>
        <v/>
      </c>
      <c r="I776" s="97" t="str">
        <f>IF(F776&lt;&gt;"",F776/'Project Summary'!$C$10, "")</f>
        <v/>
      </c>
      <c r="J776" s="68"/>
      <c r="K776" s="69"/>
      <c r="L776" s="102"/>
      <c r="M776" s="102"/>
      <c r="N776" s="68"/>
      <c r="O776" s="68"/>
      <c r="P776" s="106"/>
      <c r="Q776" s="107"/>
      <c r="R776" s="107"/>
      <c r="S776" s="107"/>
      <c r="T776" s="107"/>
    </row>
    <row r="777" spans="2:20" x14ac:dyDescent="0.25">
      <c r="B777" s="68"/>
      <c r="C777" s="68"/>
      <c r="D777" s="68"/>
      <c r="E777" s="68"/>
      <c r="F777" s="68"/>
      <c r="G777" s="95" t="str">
        <f t="shared" si="11"/>
        <v/>
      </c>
      <c r="H777" s="91" t="str">
        <f>IF(E777&lt;&gt;"",E777/'Project Summary'!$C$9,"")</f>
        <v/>
      </c>
      <c r="I777" s="97" t="str">
        <f>IF(F777&lt;&gt;"",F777/'Project Summary'!$C$10, "")</f>
        <v/>
      </c>
      <c r="J777" s="68"/>
      <c r="K777" s="69"/>
      <c r="L777" s="102"/>
      <c r="M777" s="102"/>
      <c r="N777" s="68"/>
      <c r="O777" s="68"/>
      <c r="P777" s="106"/>
      <c r="Q777" s="107"/>
      <c r="R777" s="107"/>
      <c r="S777" s="107"/>
      <c r="T777" s="107"/>
    </row>
    <row r="778" spans="2:20" x14ac:dyDescent="0.25">
      <c r="B778" s="68"/>
      <c r="C778" s="68"/>
      <c r="D778" s="68"/>
      <c r="E778" s="68"/>
      <c r="F778" s="68"/>
      <c r="G778" s="95" t="str">
        <f t="shared" si="11"/>
        <v/>
      </c>
      <c r="H778" s="91" t="str">
        <f>IF(E778&lt;&gt;"",E778/'Project Summary'!$C$9,"")</f>
        <v/>
      </c>
      <c r="I778" s="97" t="str">
        <f>IF(F778&lt;&gt;"",F778/'Project Summary'!$C$10, "")</f>
        <v/>
      </c>
      <c r="J778" s="68"/>
      <c r="K778" s="69"/>
      <c r="L778" s="102"/>
      <c r="M778" s="102"/>
      <c r="N778" s="68"/>
      <c r="O778" s="68"/>
      <c r="P778" s="106"/>
      <c r="Q778" s="107"/>
      <c r="R778" s="107"/>
      <c r="S778" s="107"/>
      <c r="T778" s="107"/>
    </row>
    <row r="779" spans="2:20" x14ac:dyDescent="0.25">
      <c r="B779" s="68"/>
      <c r="C779" s="68"/>
      <c r="D779" s="68"/>
      <c r="E779" s="68"/>
      <c r="F779" s="68"/>
      <c r="G779" s="95" t="str">
        <f t="shared" si="11"/>
        <v/>
      </c>
      <c r="H779" s="91" t="str">
        <f>IF(E779&lt;&gt;"",E779/'Project Summary'!$C$9,"")</f>
        <v/>
      </c>
      <c r="I779" s="97" t="str">
        <f>IF(F779&lt;&gt;"",F779/'Project Summary'!$C$10, "")</f>
        <v/>
      </c>
      <c r="J779" s="68"/>
      <c r="K779" s="69"/>
      <c r="L779" s="102"/>
      <c r="M779" s="102"/>
      <c r="N779" s="68"/>
      <c r="O779" s="68"/>
      <c r="P779" s="106"/>
      <c r="Q779" s="107"/>
      <c r="R779" s="107"/>
      <c r="S779" s="107"/>
      <c r="T779" s="107"/>
    </row>
    <row r="780" spans="2:20" x14ac:dyDescent="0.25">
      <c r="B780" s="68"/>
      <c r="C780" s="68"/>
      <c r="D780" s="68"/>
      <c r="E780" s="68"/>
      <c r="F780" s="68"/>
      <c r="G780" s="95" t="str">
        <f t="shared" ref="G780:G843" si="12">IF(D780&lt;&gt;"", D780/E780, "")</f>
        <v/>
      </c>
      <c r="H780" s="91" t="str">
        <f>IF(E780&lt;&gt;"",E780/'Project Summary'!$C$9,"")</f>
        <v/>
      </c>
      <c r="I780" s="97" t="str">
        <f>IF(F780&lt;&gt;"",F780/'Project Summary'!$C$10, "")</f>
        <v/>
      </c>
      <c r="J780" s="68"/>
      <c r="K780" s="69"/>
      <c r="L780" s="102"/>
      <c r="M780" s="102"/>
      <c r="N780" s="68"/>
      <c r="O780" s="68"/>
      <c r="P780" s="106"/>
      <c r="Q780" s="107"/>
      <c r="R780" s="107"/>
      <c r="S780" s="107"/>
      <c r="T780" s="107"/>
    </row>
    <row r="781" spans="2:20" x14ac:dyDescent="0.25">
      <c r="B781" s="68"/>
      <c r="C781" s="68"/>
      <c r="D781" s="68"/>
      <c r="E781" s="68"/>
      <c r="F781" s="68"/>
      <c r="G781" s="95" t="str">
        <f t="shared" si="12"/>
        <v/>
      </c>
      <c r="H781" s="91" t="str">
        <f>IF(E781&lt;&gt;"",E781/'Project Summary'!$C$9,"")</f>
        <v/>
      </c>
      <c r="I781" s="97" t="str">
        <f>IF(F781&lt;&gt;"",F781/'Project Summary'!$C$10, "")</f>
        <v/>
      </c>
      <c r="J781" s="68"/>
      <c r="K781" s="69"/>
      <c r="L781" s="102"/>
      <c r="M781" s="102"/>
      <c r="N781" s="68"/>
      <c r="O781" s="68"/>
      <c r="P781" s="106"/>
      <c r="Q781" s="107"/>
      <c r="R781" s="107"/>
      <c r="S781" s="107"/>
      <c r="T781" s="107"/>
    </row>
    <row r="782" spans="2:20" x14ac:dyDescent="0.25">
      <c r="B782" s="68"/>
      <c r="C782" s="68"/>
      <c r="D782" s="68"/>
      <c r="E782" s="68"/>
      <c r="F782" s="68"/>
      <c r="G782" s="95" t="str">
        <f t="shared" si="12"/>
        <v/>
      </c>
      <c r="H782" s="91" t="str">
        <f>IF(E782&lt;&gt;"",E782/'Project Summary'!$C$9,"")</f>
        <v/>
      </c>
      <c r="I782" s="97" t="str">
        <f>IF(F782&lt;&gt;"",F782/'Project Summary'!$C$10, "")</f>
        <v/>
      </c>
      <c r="J782" s="68"/>
      <c r="K782" s="69"/>
      <c r="L782" s="102"/>
      <c r="M782" s="102"/>
      <c r="N782" s="68"/>
      <c r="O782" s="68"/>
      <c r="P782" s="106"/>
      <c r="Q782" s="107"/>
      <c r="R782" s="107"/>
      <c r="S782" s="107"/>
      <c r="T782" s="107"/>
    </row>
    <row r="783" spans="2:20" x14ac:dyDescent="0.25">
      <c r="B783" s="68"/>
      <c r="C783" s="68"/>
      <c r="D783" s="68"/>
      <c r="E783" s="68"/>
      <c r="F783" s="68"/>
      <c r="G783" s="95" t="str">
        <f t="shared" si="12"/>
        <v/>
      </c>
      <c r="H783" s="91" t="str">
        <f>IF(E783&lt;&gt;"",E783/'Project Summary'!$C$9,"")</f>
        <v/>
      </c>
      <c r="I783" s="97" t="str">
        <f>IF(F783&lt;&gt;"",F783/'Project Summary'!$C$10, "")</f>
        <v/>
      </c>
      <c r="J783" s="68"/>
      <c r="K783" s="69"/>
      <c r="L783" s="102"/>
      <c r="M783" s="102"/>
      <c r="N783" s="68"/>
      <c r="O783" s="68"/>
      <c r="P783" s="106"/>
      <c r="Q783" s="107"/>
      <c r="R783" s="107"/>
      <c r="S783" s="107"/>
      <c r="T783" s="107"/>
    </row>
    <row r="784" spans="2:20" x14ac:dyDescent="0.25">
      <c r="B784" s="68"/>
      <c r="C784" s="68"/>
      <c r="D784" s="68"/>
      <c r="E784" s="68"/>
      <c r="F784" s="68"/>
      <c r="G784" s="95" t="str">
        <f t="shared" si="12"/>
        <v/>
      </c>
      <c r="H784" s="91" t="str">
        <f>IF(E784&lt;&gt;"",E784/'Project Summary'!$C$9,"")</f>
        <v/>
      </c>
      <c r="I784" s="97" t="str">
        <f>IF(F784&lt;&gt;"",F784/'Project Summary'!$C$10, "")</f>
        <v/>
      </c>
      <c r="J784" s="68"/>
      <c r="K784" s="69"/>
      <c r="L784" s="102"/>
      <c r="M784" s="102"/>
      <c r="N784" s="68"/>
      <c r="O784" s="68"/>
      <c r="P784" s="106"/>
      <c r="Q784" s="107"/>
      <c r="R784" s="107"/>
      <c r="S784" s="107"/>
      <c r="T784" s="107"/>
    </row>
    <row r="785" spans="2:20" x14ac:dyDescent="0.25">
      <c r="B785" s="68"/>
      <c r="C785" s="68"/>
      <c r="D785" s="68"/>
      <c r="E785" s="68"/>
      <c r="F785" s="68"/>
      <c r="G785" s="95" t="str">
        <f t="shared" si="12"/>
        <v/>
      </c>
      <c r="H785" s="91" t="str">
        <f>IF(E785&lt;&gt;"",E785/'Project Summary'!$C$9,"")</f>
        <v/>
      </c>
      <c r="I785" s="97" t="str">
        <f>IF(F785&lt;&gt;"",F785/'Project Summary'!$C$10, "")</f>
        <v/>
      </c>
      <c r="J785" s="68"/>
      <c r="K785" s="69"/>
      <c r="L785" s="102"/>
      <c r="M785" s="102"/>
      <c r="N785" s="68"/>
      <c r="O785" s="68"/>
      <c r="P785" s="106"/>
      <c r="Q785" s="107"/>
      <c r="R785" s="107"/>
      <c r="S785" s="107"/>
      <c r="T785" s="107"/>
    </row>
    <row r="786" spans="2:20" x14ac:dyDescent="0.25">
      <c r="B786" s="68"/>
      <c r="C786" s="68"/>
      <c r="D786" s="68"/>
      <c r="E786" s="68"/>
      <c r="F786" s="68"/>
      <c r="G786" s="95" t="str">
        <f t="shared" si="12"/>
        <v/>
      </c>
      <c r="H786" s="91" t="str">
        <f>IF(E786&lt;&gt;"",E786/'Project Summary'!$C$9,"")</f>
        <v/>
      </c>
      <c r="I786" s="97" t="str">
        <f>IF(F786&lt;&gt;"",F786/'Project Summary'!$C$10, "")</f>
        <v/>
      </c>
      <c r="J786" s="68"/>
      <c r="K786" s="69"/>
      <c r="L786" s="102"/>
      <c r="M786" s="102"/>
      <c r="N786" s="68"/>
      <c r="O786" s="68"/>
      <c r="P786" s="106"/>
      <c r="Q786" s="107"/>
      <c r="R786" s="107"/>
      <c r="S786" s="107"/>
      <c r="T786" s="107"/>
    </row>
    <row r="787" spans="2:20" x14ac:dyDescent="0.25">
      <c r="B787" s="68"/>
      <c r="C787" s="68"/>
      <c r="D787" s="68"/>
      <c r="E787" s="68"/>
      <c r="F787" s="68"/>
      <c r="G787" s="95" t="str">
        <f t="shared" si="12"/>
        <v/>
      </c>
      <c r="H787" s="91" t="str">
        <f>IF(E787&lt;&gt;"",E787/'Project Summary'!$C$9,"")</f>
        <v/>
      </c>
      <c r="I787" s="97" t="str">
        <f>IF(F787&lt;&gt;"",F787/'Project Summary'!$C$10, "")</f>
        <v/>
      </c>
      <c r="J787" s="68"/>
      <c r="K787" s="69"/>
      <c r="L787" s="102"/>
      <c r="M787" s="102"/>
      <c r="N787" s="68"/>
      <c r="O787" s="68"/>
      <c r="P787" s="106"/>
      <c r="Q787" s="107"/>
      <c r="R787" s="107"/>
      <c r="S787" s="107"/>
      <c r="T787" s="107"/>
    </row>
    <row r="788" spans="2:20" x14ac:dyDescent="0.25">
      <c r="B788" s="68"/>
      <c r="C788" s="68"/>
      <c r="D788" s="68"/>
      <c r="E788" s="68"/>
      <c r="F788" s="68"/>
      <c r="G788" s="95" t="str">
        <f t="shared" si="12"/>
        <v/>
      </c>
      <c r="H788" s="91" t="str">
        <f>IF(E788&lt;&gt;"",E788/'Project Summary'!$C$9,"")</f>
        <v/>
      </c>
      <c r="I788" s="97" t="str">
        <f>IF(F788&lt;&gt;"",F788/'Project Summary'!$C$10, "")</f>
        <v/>
      </c>
      <c r="J788" s="68"/>
      <c r="K788" s="69"/>
      <c r="L788" s="102"/>
      <c r="M788" s="102"/>
      <c r="N788" s="68"/>
      <c r="O788" s="68"/>
      <c r="P788" s="106"/>
      <c r="Q788" s="107"/>
      <c r="R788" s="107"/>
      <c r="S788" s="107"/>
      <c r="T788" s="107"/>
    </row>
    <row r="789" spans="2:20" x14ac:dyDescent="0.25">
      <c r="B789" s="68"/>
      <c r="C789" s="68"/>
      <c r="D789" s="68"/>
      <c r="E789" s="68"/>
      <c r="F789" s="68"/>
      <c r="G789" s="95" t="str">
        <f t="shared" si="12"/>
        <v/>
      </c>
      <c r="H789" s="91" t="str">
        <f>IF(E789&lt;&gt;"",E789/'Project Summary'!$C$9,"")</f>
        <v/>
      </c>
      <c r="I789" s="97" t="str">
        <f>IF(F789&lt;&gt;"",F789/'Project Summary'!$C$10, "")</f>
        <v/>
      </c>
      <c r="J789" s="68"/>
      <c r="K789" s="69"/>
      <c r="L789" s="102"/>
      <c r="M789" s="102"/>
      <c r="N789" s="68"/>
      <c r="O789" s="68"/>
      <c r="P789" s="106"/>
      <c r="Q789" s="107"/>
      <c r="R789" s="107"/>
      <c r="S789" s="107"/>
      <c r="T789" s="107"/>
    </row>
    <row r="790" spans="2:20" x14ac:dyDescent="0.25">
      <c r="B790" s="68"/>
      <c r="C790" s="68"/>
      <c r="D790" s="68"/>
      <c r="E790" s="68"/>
      <c r="F790" s="68"/>
      <c r="G790" s="95" t="str">
        <f t="shared" si="12"/>
        <v/>
      </c>
      <c r="H790" s="91" t="str">
        <f>IF(E790&lt;&gt;"",E790/'Project Summary'!$C$9,"")</f>
        <v/>
      </c>
      <c r="I790" s="97" t="str">
        <f>IF(F790&lt;&gt;"",F790/'Project Summary'!$C$10, "")</f>
        <v/>
      </c>
      <c r="J790" s="68"/>
      <c r="K790" s="69"/>
      <c r="L790" s="102"/>
      <c r="M790" s="102"/>
      <c r="N790" s="68"/>
      <c r="O790" s="68"/>
      <c r="P790" s="106"/>
      <c r="Q790" s="107"/>
      <c r="R790" s="107"/>
      <c r="S790" s="107"/>
      <c r="T790" s="107"/>
    </row>
    <row r="791" spans="2:20" x14ac:dyDescent="0.25">
      <c r="B791" s="68"/>
      <c r="C791" s="68"/>
      <c r="D791" s="68"/>
      <c r="E791" s="68"/>
      <c r="F791" s="68"/>
      <c r="G791" s="95" t="str">
        <f t="shared" si="12"/>
        <v/>
      </c>
      <c r="H791" s="91" t="str">
        <f>IF(E791&lt;&gt;"",E791/'Project Summary'!$C$9,"")</f>
        <v/>
      </c>
      <c r="I791" s="97" t="str">
        <f>IF(F791&lt;&gt;"",F791/'Project Summary'!$C$10, "")</f>
        <v/>
      </c>
      <c r="J791" s="68"/>
      <c r="K791" s="69"/>
      <c r="L791" s="102"/>
      <c r="M791" s="102"/>
      <c r="N791" s="68"/>
      <c r="O791" s="68"/>
      <c r="P791" s="106"/>
      <c r="Q791" s="107"/>
      <c r="R791" s="107"/>
      <c r="S791" s="107"/>
      <c r="T791" s="107"/>
    </row>
    <row r="792" spans="2:20" x14ac:dyDescent="0.25">
      <c r="B792" s="68"/>
      <c r="C792" s="68"/>
      <c r="D792" s="68"/>
      <c r="E792" s="68"/>
      <c r="F792" s="68"/>
      <c r="G792" s="95" t="str">
        <f t="shared" si="12"/>
        <v/>
      </c>
      <c r="H792" s="91" t="str">
        <f>IF(E792&lt;&gt;"",E792/'Project Summary'!$C$9,"")</f>
        <v/>
      </c>
      <c r="I792" s="97" t="str">
        <f>IF(F792&lt;&gt;"",F792/'Project Summary'!$C$10, "")</f>
        <v/>
      </c>
      <c r="J792" s="68"/>
      <c r="K792" s="69"/>
      <c r="L792" s="102"/>
      <c r="M792" s="102"/>
      <c r="N792" s="68"/>
      <c r="O792" s="68"/>
      <c r="P792" s="106"/>
      <c r="Q792" s="107"/>
      <c r="R792" s="107"/>
      <c r="S792" s="107"/>
      <c r="T792" s="107"/>
    </row>
    <row r="793" spans="2:20" x14ac:dyDescent="0.25">
      <c r="B793" s="68"/>
      <c r="C793" s="68"/>
      <c r="D793" s="68"/>
      <c r="E793" s="68"/>
      <c r="F793" s="68"/>
      <c r="G793" s="95" t="str">
        <f t="shared" si="12"/>
        <v/>
      </c>
      <c r="H793" s="91" t="str">
        <f>IF(E793&lt;&gt;"",E793/'Project Summary'!$C$9,"")</f>
        <v/>
      </c>
      <c r="I793" s="97" t="str">
        <f>IF(F793&lt;&gt;"",F793/'Project Summary'!$C$10, "")</f>
        <v/>
      </c>
      <c r="J793" s="68"/>
      <c r="K793" s="69"/>
      <c r="L793" s="102"/>
      <c r="M793" s="102"/>
      <c r="N793" s="68"/>
      <c r="O793" s="68"/>
      <c r="P793" s="106"/>
      <c r="Q793" s="107"/>
      <c r="R793" s="107"/>
      <c r="S793" s="107"/>
      <c r="T793" s="107"/>
    </row>
    <row r="794" spans="2:20" x14ac:dyDescent="0.25">
      <c r="B794" s="68"/>
      <c r="C794" s="68"/>
      <c r="D794" s="68"/>
      <c r="E794" s="68"/>
      <c r="F794" s="68"/>
      <c r="G794" s="95" t="str">
        <f t="shared" si="12"/>
        <v/>
      </c>
      <c r="H794" s="91" t="str">
        <f>IF(E794&lt;&gt;"",E794/'Project Summary'!$C$9,"")</f>
        <v/>
      </c>
      <c r="I794" s="97" t="str">
        <f>IF(F794&lt;&gt;"",F794/'Project Summary'!$C$10, "")</f>
        <v/>
      </c>
      <c r="J794" s="68"/>
      <c r="K794" s="69"/>
      <c r="L794" s="102"/>
      <c r="M794" s="102"/>
      <c r="N794" s="68"/>
      <c r="O794" s="68"/>
      <c r="P794" s="106"/>
      <c r="Q794" s="107"/>
      <c r="R794" s="107"/>
      <c r="S794" s="107"/>
      <c r="T794" s="107"/>
    </row>
    <row r="795" spans="2:20" x14ac:dyDescent="0.25">
      <c r="B795" s="68"/>
      <c r="C795" s="68"/>
      <c r="D795" s="68"/>
      <c r="E795" s="68"/>
      <c r="F795" s="68"/>
      <c r="G795" s="95" t="str">
        <f t="shared" si="12"/>
        <v/>
      </c>
      <c r="H795" s="91" t="str">
        <f>IF(E795&lt;&gt;"",E795/'Project Summary'!$C$9,"")</f>
        <v/>
      </c>
      <c r="I795" s="97" t="str">
        <f>IF(F795&lt;&gt;"",F795/'Project Summary'!$C$10, "")</f>
        <v/>
      </c>
      <c r="J795" s="68"/>
      <c r="K795" s="69"/>
      <c r="L795" s="102"/>
      <c r="M795" s="102"/>
      <c r="N795" s="68"/>
      <c r="O795" s="68"/>
      <c r="P795" s="106"/>
      <c r="Q795" s="107"/>
      <c r="R795" s="107"/>
      <c r="S795" s="107"/>
      <c r="T795" s="107"/>
    </row>
    <row r="796" spans="2:20" x14ac:dyDescent="0.25">
      <c r="B796" s="68"/>
      <c r="C796" s="68"/>
      <c r="D796" s="68"/>
      <c r="E796" s="68"/>
      <c r="F796" s="68"/>
      <c r="G796" s="95" t="str">
        <f t="shared" si="12"/>
        <v/>
      </c>
      <c r="H796" s="91" t="str">
        <f>IF(E796&lt;&gt;"",E796/'Project Summary'!$C$9,"")</f>
        <v/>
      </c>
      <c r="I796" s="97" t="str">
        <f>IF(F796&lt;&gt;"",F796/'Project Summary'!$C$10, "")</f>
        <v/>
      </c>
      <c r="J796" s="68"/>
      <c r="K796" s="69"/>
      <c r="L796" s="102"/>
      <c r="M796" s="102"/>
      <c r="N796" s="68"/>
      <c r="O796" s="68"/>
      <c r="P796" s="106"/>
      <c r="Q796" s="107"/>
      <c r="R796" s="107"/>
      <c r="S796" s="107"/>
      <c r="T796" s="107"/>
    </row>
    <row r="797" spans="2:20" x14ac:dyDescent="0.25">
      <c r="B797" s="68"/>
      <c r="C797" s="68"/>
      <c r="D797" s="68"/>
      <c r="E797" s="68"/>
      <c r="F797" s="68"/>
      <c r="G797" s="95" t="str">
        <f t="shared" si="12"/>
        <v/>
      </c>
      <c r="H797" s="91" t="str">
        <f>IF(E797&lt;&gt;"",E797/'Project Summary'!$C$9,"")</f>
        <v/>
      </c>
      <c r="I797" s="97" t="str">
        <f>IF(F797&lt;&gt;"",F797/'Project Summary'!$C$10, "")</f>
        <v/>
      </c>
      <c r="J797" s="68"/>
      <c r="K797" s="69"/>
      <c r="L797" s="102"/>
      <c r="M797" s="102"/>
      <c r="N797" s="68"/>
      <c r="O797" s="68"/>
      <c r="P797" s="106"/>
      <c r="Q797" s="107"/>
      <c r="R797" s="107"/>
      <c r="S797" s="107"/>
      <c r="T797" s="107"/>
    </row>
    <row r="798" spans="2:20" x14ac:dyDescent="0.25">
      <c r="B798" s="68"/>
      <c r="C798" s="68"/>
      <c r="D798" s="68"/>
      <c r="E798" s="68"/>
      <c r="F798" s="68"/>
      <c r="G798" s="95" t="str">
        <f t="shared" si="12"/>
        <v/>
      </c>
      <c r="H798" s="91" t="str">
        <f>IF(E798&lt;&gt;"",E798/'Project Summary'!$C$9,"")</f>
        <v/>
      </c>
      <c r="I798" s="97" t="str">
        <f>IF(F798&lt;&gt;"",F798/'Project Summary'!$C$10, "")</f>
        <v/>
      </c>
      <c r="J798" s="68"/>
      <c r="K798" s="69"/>
      <c r="L798" s="102"/>
      <c r="M798" s="102"/>
      <c r="N798" s="68"/>
      <c r="O798" s="68"/>
      <c r="P798" s="106"/>
      <c r="Q798" s="107"/>
      <c r="R798" s="107"/>
      <c r="S798" s="107"/>
      <c r="T798" s="107"/>
    </row>
    <row r="799" spans="2:20" x14ac:dyDescent="0.25">
      <c r="B799" s="68"/>
      <c r="C799" s="68"/>
      <c r="D799" s="68"/>
      <c r="E799" s="68"/>
      <c r="F799" s="68"/>
      <c r="G799" s="95" t="str">
        <f t="shared" si="12"/>
        <v/>
      </c>
      <c r="H799" s="91" t="str">
        <f>IF(E799&lt;&gt;"",E799/'Project Summary'!$C$9,"")</f>
        <v/>
      </c>
      <c r="I799" s="97" t="str">
        <f>IF(F799&lt;&gt;"",F799/'Project Summary'!$C$10, "")</f>
        <v/>
      </c>
      <c r="J799" s="68"/>
      <c r="K799" s="69"/>
      <c r="L799" s="102"/>
      <c r="M799" s="102"/>
      <c r="N799" s="68"/>
      <c r="O799" s="68"/>
      <c r="P799" s="106"/>
      <c r="Q799" s="107"/>
      <c r="R799" s="107"/>
      <c r="S799" s="107"/>
      <c r="T799" s="107"/>
    </row>
    <row r="800" spans="2:20" x14ac:dyDescent="0.25">
      <c r="B800" s="68"/>
      <c r="C800" s="68"/>
      <c r="D800" s="68"/>
      <c r="E800" s="68"/>
      <c r="F800" s="68"/>
      <c r="G800" s="95" t="str">
        <f t="shared" si="12"/>
        <v/>
      </c>
      <c r="H800" s="91" t="str">
        <f>IF(E800&lt;&gt;"",E800/'Project Summary'!$C$9,"")</f>
        <v/>
      </c>
      <c r="I800" s="97" t="str">
        <f>IF(F800&lt;&gt;"",F800/'Project Summary'!$C$10, "")</f>
        <v/>
      </c>
      <c r="J800" s="68"/>
      <c r="K800" s="69"/>
      <c r="L800" s="102"/>
      <c r="M800" s="102"/>
      <c r="N800" s="68"/>
      <c r="O800" s="68"/>
      <c r="P800" s="106"/>
      <c r="Q800" s="107"/>
      <c r="R800" s="107"/>
      <c r="S800" s="107"/>
      <c r="T800" s="107"/>
    </row>
    <row r="801" spans="2:20" x14ac:dyDescent="0.25">
      <c r="B801" s="68"/>
      <c r="C801" s="68"/>
      <c r="D801" s="68"/>
      <c r="E801" s="68"/>
      <c r="F801" s="68"/>
      <c r="G801" s="95" t="str">
        <f t="shared" si="12"/>
        <v/>
      </c>
      <c r="H801" s="91" t="str">
        <f>IF(E801&lt;&gt;"",E801/'Project Summary'!$C$9,"")</f>
        <v/>
      </c>
      <c r="I801" s="97" t="str">
        <f>IF(F801&lt;&gt;"",F801/'Project Summary'!$C$10, "")</f>
        <v/>
      </c>
      <c r="J801" s="68"/>
      <c r="K801" s="69"/>
      <c r="L801" s="102"/>
      <c r="M801" s="102"/>
      <c r="N801" s="68"/>
      <c r="O801" s="68"/>
      <c r="P801" s="106"/>
      <c r="Q801" s="107"/>
      <c r="R801" s="107"/>
      <c r="S801" s="107"/>
      <c r="T801" s="107"/>
    </row>
    <row r="802" spans="2:20" x14ac:dyDescent="0.25">
      <c r="B802" s="68"/>
      <c r="C802" s="68"/>
      <c r="D802" s="68"/>
      <c r="E802" s="68"/>
      <c r="F802" s="68"/>
      <c r="G802" s="95" t="str">
        <f t="shared" si="12"/>
        <v/>
      </c>
      <c r="H802" s="91" t="str">
        <f>IF(E802&lt;&gt;"",E802/'Project Summary'!$C$9,"")</f>
        <v/>
      </c>
      <c r="I802" s="97" t="str">
        <f>IF(F802&lt;&gt;"",F802/'Project Summary'!$C$10, "")</f>
        <v/>
      </c>
      <c r="J802" s="68"/>
      <c r="K802" s="69"/>
      <c r="L802" s="102"/>
      <c r="M802" s="102"/>
      <c r="N802" s="68"/>
      <c r="O802" s="68"/>
      <c r="P802" s="106"/>
      <c r="Q802" s="107"/>
      <c r="R802" s="107"/>
      <c r="S802" s="107"/>
      <c r="T802" s="107"/>
    </row>
    <row r="803" spans="2:20" x14ac:dyDescent="0.25">
      <c r="B803" s="68"/>
      <c r="C803" s="68"/>
      <c r="D803" s="68"/>
      <c r="E803" s="68"/>
      <c r="F803" s="68"/>
      <c r="G803" s="95" t="str">
        <f t="shared" si="12"/>
        <v/>
      </c>
      <c r="H803" s="91" t="str">
        <f>IF(E803&lt;&gt;"",E803/'Project Summary'!$C$9,"")</f>
        <v/>
      </c>
      <c r="I803" s="97" t="str">
        <f>IF(F803&lt;&gt;"",F803/'Project Summary'!$C$10, "")</f>
        <v/>
      </c>
      <c r="J803" s="68"/>
      <c r="K803" s="69"/>
      <c r="L803" s="102"/>
      <c r="M803" s="102"/>
      <c r="N803" s="68"/>
      <c r="O803" s="68"/>
      <c r="P803" s="106"/>
      <c r="Q803" s="107"/>
      <c r="R803" s="107"/>
      <c r="S803" s="107"/>
      <c r="T803" s="107"/>
    </row>
    <row r="804" spans="2:20" x14ac:dyDescent="0.25">
      <c r="B804" s="68"/>
      <c r="C804" s="68"/>
      <c r="D804" s="68"/>
      <c r="E804" s="68"/>
      <c r="F804" s="68"/>
      <c r="G804" s="95" t="str">
        <f t="shared" si="12"/>
        <v/>
      </c>
      <c r="H804" s="91" t="str">
        <f>IF(E804&lt;&gt;"",E804/'Project Summary'!$C$9,"")</f>
        <v/>
      </c>
      <c r="I804" s="97" t="str">
        <f>IF(F804&lt;&gt;"",F804/'Project Summary'!$C$10, "")</f>
        <v/>
      </c>
      <c r="J804" s="68"/>
      <c r="K804" s="69"/>
      <c r="L804" s="102"/>
      <c r="M804" s="102"/>
      <c r="N804" s="68"/>
      <c r="O804" s="68"/>
      <c r="P804" s="106"/>
      <c r="Q804" s="107"/>
      <c r="R804" s="107"/>
      <c r="S804" s="107"/>
      <c r="T804" s="107"/>
    </row>
    <row r="805" spans="2:20" x14ac:dyDescent="0.25">
      <c r="B805" s="68"/>
      <c r="C805" s="68"/>
      <c r="D805" s="68"/>
      <c r="E805" s="68"/>
      <c r="F805" s="68"/>
      <c r="G805" s="95" t="str">
        <f t="shared" si="12"/>
        <v/>
      </c>
      <c r="H805" s="91" t="str">
        <f>IF(E805&lt;&gt;"",E805/'Project Summary'!$C$9,"")</f>
        <v/>
      </c>
      <c r="I805" s="97" t="str">
        <f>IF(F805&lt;&gt;"",F805/'Project Summary'!$C$10, "")</f>
        <v/>
      </c>
      <c r="J805" s="68"/>
      <c r="K805" s="69"/>
      <c r="L805" s="102"/>
      <c r="M805" s="102"/>
      <c r="N805" s="68"/>
      <c r="O805" s="68"/>
      <c r="P805" s="106"/>
      <c r="Q805" s="107"/>
      <c r="R805" s="107"/>
      <c r="S805" s="107"/>
      <c r="T805" s="107"/>
    </row>
    <row r="806" spans="2:20" x14ac:dyDescent="0.25">
      <c r="B806" s="68"/>
      <c r="C806" s="68"/>
      <c r="D806" s="68"/>
      <c r="E806" s="68"/>
      <c r="F806" s="68"/>
      <c r="G806" s="95" t="str">
        <f t="shared" si="12"/>
        <v/>
      </c>
      <c r="H806" s="91" t="str">
        <f>IF(E806&lt;&gt;"",E806/'Project Summary'!$C$9,"")</f>
        <v/>
      </c>
      <c r="I806" s="97" t="str">
        <f>IF(F806&lt;&gt;"",F806/'Project Summary'!$C$10, "")</f>
        <v/>
      </c>
      <c r="J806" s="68"/>
      <c r="K806" s="69"/>
      <c r="L806" s="102"/>
      <c r="M806" s="102"/>
      <c r="N806" s="68"/>
      <c r="O806" s="68"/>
      <c r="P806" s="106"/>
      <c r="Q806" s="107"/>
      <c r="R806" s="107"/>
      <c r="S806" s="107"/>
      <c r="T806" s="107"/>
    </row>
    <row r="807" spans="2:20" x14ac:dyDescent="0.25">
      <c r="B807" s="68"/>
      <c r="C807" s="68"/>
      <c r="D807" s="68"/>
      <c r="E807" s="68"/>
      <c r="F807" s="68"/>
      <c r="G807" s="95" t="str">
        <f t="shared" si="12"/>
        <v/>
      </c>
      <c r="H807" s="91" t="str">
        <f>IF(E807&lt;&gt;"",E807/'Project Summary'!$C$9,"")</f>
        <v/>
      </c>
      <c r="I807" s="97" t="str">
        <f>IF(F807&lt;&gt;"",F807/'Project Summary'!$C$10, "")</f>
        <v/>
      </c>
      <c r="J807" s="68"/>
      <c r="K807" s="69"/>
      <c r="L807" s="102"/>
      <c r="M807" s="102"/>
      <c r="N807" s="68"/>
      <c r="O807" s="68"/>
      <c r="P807" s="106"/>
      <c r="Q807" s="107"/>
      <c r="R807" s="107"/>
      <c r="S807" s="107"/>
      <c r="T807" s="107"/>
    </row>
    <row r="808" spans="2:20" x14ac:dyDescent="0.25">
      <c r="B808" s="68"/>
      <c r="C808" s="68"/>
      <c r="D808" s="68"/>
      <c r="E808" s="68"/>
      <c r="F808" s="68"/>
      <c r="G808" s="95" t="str">
        <f t="shared" si="12"/>
        <v/>
      </c>
      <c r="H808" s="91" t="str">
        <f>IF(E808&lt;&gt;"",E808/'Project Summary'!$C$9,"")</f>
        <v/>
      </c>
      <c r="I808" s="97" t="str">
        <f>IF(F808&lt;&gt;"",F808/'Project Summary'!$C$10, "")</f>
        <v/>
      </c>
      <c r="J808" s="68"/>
      <c r="K808" s="69"/>
      <c r="L808" s="102"/>
      <c r="M808" s="102"/>
      <c r="N808" s="68"/>
      <c r="O808" s="68"/>
      <c r="P808" s="106"/>
      <c r="Q808" s="107"/>
      <c r="R808" s="107"/>
      <c r="S808" s="107"/>
      <c r="T808" s="107"/>
    </row>
    <row r="809" spans="2:20" x14ac:dyDescent="0.25">
      <c r="B809" s="68"/>
      <c r="C809" s="68"/>
      <c r="D809" s="68"/>
      <c r="E809" s="68"/>
      <c r="F809" s="68"/>
      <c r="G809" s="95" t="str">
        <f t="shared" si="12"/>
        <v/>
      </c>
      <c r="H809" s="91" t="str">
        <f>IF(E809&lt;&gt;"",E809/'Project Summary'!$C$9,"")</f>
        <v/>
      </c>
      <c r="I809" s="97" t="str">
        <f>IF(F809&lt;&gt;"",F809/'Project Summary'!$C$10, "")</f>
        <v/>
      </c>
      <c r="J809" s="68"/>
      <c r="K809" s="69"/>
      <c r="L809" s="102"/>
      <c r="M809" s="102"/>
      <c r="N809" s="68"/>
      <c r="O809" s="68"/>
      <c r="P809" s="106"/>
      <c r="Q809" s="107"/>
      <c r="R809" s="107"/>
      <c r="S809" s="107"/>
      <c r="T809" s="107"/>
    </row>
    <row r="810" spans="2:20" x14ac:dyDescent="0.25">
      <c r="B810" s="68"/>
      <c r="C810" s="68"/>
      <c r="D810" s="68"/>
      <c r="E810" s="68"/>
      <c r="F810" s="68"/>
      <c r="G810" s="95" t="str">
        <f t="shared" si="12"/>
        <v/>
      </c>
      <c r="H810" s="91" t="str">
        <f>IF(E810&lt;&gt;"",E810/'Project Summary'!$C$9,"")</f>
        <v/>
      </c>
      <c r="I810" s="97" t="str">
        <f>IF(F810&lt;&gt;"",F810/'Project Summary'!$C$10, "")</f>
        <v/>
      </c>
      <c r="J810" s="68"/>
      <c r="K810" s="69"/>
      <c r="L810" s="102"/>
      <c r="M810" s="102"/>
      <c r="N810" s="68"/>
      <c r="O810" s="68"/>
      <c r="P810" s="106"/>
      <c r="Q810" s="107"/>
      <c r="R810" s="107"/>
      <c r="S810" s="107"/>
      <c r="T810" s="107"/>
    </row>
    <row r="811" spans="2:20" x14ac:dyDescent="0.25">
      <c r="B811" s="68"/>
      <c r="C811" s="68"/>
      <c r="D811" s="68"/>
      <c r="E811" s="68"/>
      <c r="F811" s="68"/>
      <c r="G811" s="95" t="str">
        <f t="shared" si="12"/>
        <v/>
      </c>
      <c r="H811" s="91" t="str">
        <f>IF(E811&lt;&gt;"",E811/'Project Summary'!$C$9,"")</f>
        <v/>
      </c>
      <c r="I811" s="97" t="str">
        <f>IF(F811&lt;&gt;"",F811/'Project Summary'!$C$10, "")</f>
        <v/>
      </c>
      <c r="J811" s="68"/>
      <c r="K811" s="69"/>
      <c r="L811" s="102"/>
      <c r="M811" s="102"/>
      <c r="N811" s="68"/>
      <c r="O811" s="68"/>
      <c r="P811" s="106"/>
      <c r="Q811" s="107"/>
      <c r="R811" s="107"/>
      <c r="S811" s="107"/>
      <c r="T811" s="107"/>
    </row>
    <row r="812" spans="2:20" x14ac:dyDescent="0.25">
      <c r="B812" s="68"/>
      <c r="C812" s="68"/>
      <c r="D812" s="68"/>
      <c r="E812" s="68"/>
      <c r="F812" s="68"/>
      <c r="G812" s="95" t="str">
        <f t="shared" si="12"/>
        <v/>
      </c>
      <c r="H812" s="91" t="str">
        <f>IF(E812&lt;&gt;"",E812/'Project Summary'!$C$9,"")</f>
        <v/>
      </c>
      <c r="I812" s="97" t="str">
        <f>IF(F812&lt;&gt;"",F812/'Project Summary'!$C$10, "")</f>
        <v/>
      </c>
      <c r="J812" s="68"/>
      <c r="K812" s="69"/>
      <c r="L812" s="102"/>
      <c r="M812" s="102"/>
      <c r="N812" s="68"/>
      <c r="O812" s="68"/>
      <c r="P812" s="106"/>
      <c r="Q812" s="107"/>
      <c r="R812" s="107"/>
      <c r="S812" s="107"/>
      <c r="T812" s="107"/>
    </row>
    <row r="813" spans="2:20" x14ac:dyDescent="0.25">
      <c r="B813" s="68"/>
      <c r="C813" s="68"/>
      <c r="D813" s="68"/>
      <c r="E813" s="68"/>
      <c r="F813" s="68"/>
      <c r="G813" s="95" t="str">
        <f t="shared" si="12"/>
        <v/>
      </c>
      <c r="H813" s="91" t="str">
        <f>IF(E813&lt;&gt;"",E813/'Project Summary'!$C$9,"")</f>
        <v/>
      </c>
      <c r="I813" s="97" t="str">
        <f>IF(F813&lt;&gt;"",F813/'Project Summary'!$C$10, "")</f>
        <v/>
      </c>
      <c r="J813" s="68"/>
      <c r="K813" s="69"/>
      <c r="L813" s="102"/>
      <c r="M813" s="102"/>
      <c r="N813" s="68"/>
      <c r="O813" s="68"/>
      <c r="P813" s="106"/>
      <c r="Q813" s="107"/>
      <c r="R813" s="107"/>
      <c r="S813" s="107"/>
      <c r="T813" s="107"/>
    </row>
    <row r="814" spans="2:20" x14ac:dyDescent="0.25">
      <c r="B814" s="68"/>
      <c r="C814" s="68"/>
      <c r="D814" s="68"/>
      <c r="E814" s="68"/>
      <c r="F814" s="68"/>
      <c r="G814" s="95" t="str">
        <f t="shared" si="12"/>
        <v/>
      </c>
      <c r="H814" s="91" t="str">
        <f>IF(E814&lt;&gt;"",E814/'Project Summary'!$C$9,"")</f>
        <v/>
      </c>
      <c r="I814" s="97" t="str">
        <f>IF(F814&lt;&gt;"",F814/'Project Summary'!$C$10, "")</f>
        <v/>
      </c>
      <c r="J814" s="68"/>
      <c r="K814" s="69"/>
      <c r="L814" s="102"/>
      <c r="M814" s="102"/>
      <c r="N814" s="68"/>
      <c r="O814" s="68"/>
      <c r="P814" s="106"/>
      <c r="Q814" s="107"/>
      <c r="R814" s="107"/>
      <c r="S814" s="107"/>
      <c r="T814" s="107"/>
    </row>
    <row r="815" spans="2:20" x14ac:dyDescent="0.25">
      <c r="B815" s="68"/>
      <c r="C815" s="68"/>
      <c r="D815" s="68"/>
      <c r="E815" s="68"/>
      <c r="F815" s="68"/>
      <c r="G815" s="95" t="str">
        <f t="shared" si="12"/>
        <v/>
      </c>
      <c r="H815" s="91" t="str">
        <f>IF(E815&lt;&gt;"",E815/'Project Summary'!$C$9,"")</f>
        <v/>
      </c>
      <c r="I815" s="97" t="str">
        <f>IF(F815&lt;&gt;"",F815/'Project Summary'!$C$10, "")</f>
        <v/>
      </c>
      <c r="J815" s="68"/>
      <c r="K815" s="69"/>
      <c r="L815" s="102"/>
      <c r="M815" s="102"/>
      <c r="N815" s="68"/>
      <c r="O815" s="68"/>
      <c r="P815" s="106"/>
      <c r="Q815" s="107"/>
      <c r="R815" s="107"/>
      <c r="S815" s="107"/>
      <c r="T815" s="107"/>
    </row>
    <row r="816" spans="2:20" x14ac:dyDescent="0.25">
      <c r="B816" s="68"/>
      <c r="C816" s="68"/>
      <c r="D816" s="68"/>
      <c r="E816" s="68"/>
      <c r="F816" s="68"/>
      <c r="G816" s="95" t="str">
        <f t="shared" si="12"/>
        <v/>
      </c>
      <c r="H816" s="91" t="str">
        <f>IF(E816&lt;&gt;"",E816/'Project Summary'!$C$9,"")</f>
        <v/>
      </c>
      <c r="I816" s="97" t="str">
        <f>IF(F816&lt;&gt;"",F816/'Project Summary'!$C$10, "")</f>
        <v/>
      </c>
      <c r="J816" s="68"/>
      <c r="K816" s="69"/>
      <c r="L816" s="102"/>
      <c r="M816" s="102"/>
      <c r="N816" s="68"/>
      <c r="O816" s="68"/>
      <c r="P816" s="106"/>
      <c r="Q816" s="107"/>
      <c r="R816" s="107"/>
      <c r="S816" s="107"/>
      <c r="T816" s="107"/>
    </row>
    <row r="817" spans="2:20" x14ac:dyDescent="0.25">
      <c r="B817" s="68"/>
      <c r="C817" s="68"/>
      <c r="D817" s="68"/>
      <c r="E817" s="68"/>
      <c r="F817" s="68"/>
      <c r="G817" s="95" t="str">
        <f t="shared" si="12"/>
        <v/>
      </c>
      <c r="H817" s="91" t="str">
        <f>IF(E817&lt;&gt;"",E817/'Project Summary'!$C$9,"")</f>
        <v/>
      </c>
      <c r="I817" s="97" t="str">
        <f>IF(F817&lt;&gt;"",F817/'Project Summary'!$C$10, "")</f>
        <v/>
      </c>
      <c r="J817" s="68"/>
      <c r="K817" s="69"/>
      <c r="L817" s="102"/>
      <c r="M817" s="102"/>
      <c r="N817" s="68"/>
      <c r="O817" s="68"/>
      <c r="P817" s="106"/>
      <c r="Q817" s="107"/>
      <c r="R817" s="107"/>
      <c r="S817" s="107"/>
      <c r="T817" s="107"/>
    </row>
    <row r="818" spans="2:20" x14ac:dyDescent="0.25">
      <c r="B818" s="68"/>
      <c r="C818" s="68"/>
      <c r="D818" s="68"/>
      <c r="E818" s="68"/>
      <c r="F818" s="68"/>
      <c r="G818" s="95" t="str">
        <f t="shared" si="12"/>
        <v/>
      </c>
      <c r="H818" s="91" t="str">
        <f>IF(E818&lt;&gt;"",E818/'Project Summary'!$C$9,"")</f>
        <v/>
      </c>
      <c r="I818" s="97" t="str">
        <f>IF(F818&lt;&gt;"",F818/'Project Summary'!$C$10, "")</f>
        <v/>
      </c>
      <c r="J818" s="68"/>
      <c r="K818" s="69"/>
      <c r="L818" s="102"/>
      <c r="M818" s="102"/>
      <c r="N818" s="68"/>
      <c r="O818" s="68"/>
      <c r="P818" s="106"/>
      <c r="Q818" s="107"/>
      <c r="R818" s="107"/>
      <c r="S818" s="107"/>
      <c r="T818" s="107"/>
    </row>
    <row r="819" spans="2:20" x14ac:dyDescent="0.25">
      <c r="B819" s="68"/>
      <c r="C819" s="68"/>
      <c r="D819" s="68"/>
      <c r="E819" s="68"/>
      <c r="F819" s="68"/>
      <c r="G819" s="95" t="str">
        <f t="shared" si="12"/>
        <v/>
      </c>
      <c r="H819" s="91" t="str">
        <f>IF(E819&lt;&gt;"",E819/'Project Summary'!$C$9,"")</f>
        <v/>
      </c>
      <c r="I819" s="97" t="str">
        <f>IF(F819&lt;&gt;"",F819/'Project Summary'!$C$10, "")</f>
        <v/>
      </c>
      <c r="J819" s="68"/>
      <c r="K819" s="69"/>
      <c r="L819" s="102"/>
      <c r="M819" s="102"/>
      <c r="N819" s="68"/>
      <c r="O819" s="68"/>
      <c r="P819" s="106"/>
      <c r="Q819" s="107"/>
      <c r="R819" s="107"/>
      <c r="S819" s="107"/>
      <c r="T819" s="107"/>
    </row>
    <row r="820" spans="2:20" x14ac:dyDescent="0.25">
      <c r="B820" s="68"/>
      <c r="C820" s="68"/>
      <c r="D820" s="68"/>
      <c r="E820" s="68"/>
      <c r="F820" s="68"/>
      <c r="G820" s="95" t="str">
        <f t="shared" si="12"/>
        <v/>
      </c>
      <c r="H820" s="91" t="str">
        <f>IF(E820&lt;&gt;"",E820/'Project Summary'!$C$9,"")</f>
        <v/>
      </c>
      <c r="I820" s="97" t="str">
        <f>IF(F820&lt;&gt;"",F820/'Project Summary'!$C$10, "")</f>
        <v/>
      </c>
      <c r="J820" s="68"/>
      <c r="K820" s="69"/>
      <c r="L820" s="102"/>
      <c r="M820" s="102"/>
      <c r="N820" s="68"/>
      <c r="O820" s="68"/>
      <c r="P820" s="106"/>
      <c r="Q820" s="107"/>
      <c r="R820" s="107"/>
      <c r="S820" s="107"/>
      <c r="T820" s="107"/>
    </row>
    <row r="821" spans="2:20" x14ac:dyDescent="0.25">
      <c r="B821" s="68"/>
      <c r="C821" s="68"/>
      <c r="D821" s="68"/>
      <c r="E821" s="68"/>
      <c r="F821" s="68"/>
      <c r="G821" s="95" t="str">
        <f t="shared" si="12"/>
        <v/>
      </c>
      <c r="H821" s="91" t="str">
        <f>IF(E821&lt;&gt;"",E821/'Project Summary'!$C$9,"")</f>
        <v/>
      </c>
      <c r="I821" s="97" t="str">
        <f>IF(F821&lt;&gt;"",F821/'Project Summary'!$C$10, "")</f>
        <v/>
      </c>
      <c r="J821" s="68"/>
      <c r="K821" s="69"/>
      <c r="L821" s="102"/>
      <c r="M821" s="102"/>
      <c r="N821" s="68"/>
      <c r="O821" s="68"/>
      <c r="P821" s="106"/>
      <c r="Q821" s="107"/>
      <c r="R821" s="107"/>
      <c r="S821" s="107"/>
      <c r="T821" s="107"/>
    </row>
    <row r="822" spans="2:20" x14ac:dyDescent="0.25">
      <c r="B822" s="68"/>
      <c r="C822" s="68"/>
      <c r="D822" s="68"/>
      <c r="E822" s="68"/>
      <c r="F822" s="68"/>
      <c r="G822" s="95" t="str">
        <f t="shared" si="12"/>
        <v/>
      </c>
      <c r="H822" s="91" t="str">
        <f>IF(E822&lt;&gt;"",E822/'Project Summary'!$C$9,"")</f>
        <v/>
      </c>
      <c r="I822" s="97" t="str">
        <f>IF(F822&lt;&gt;"",F822/'Project Summary'!$C$10, "")</f>
        <v/>
      </c>
      <c r="J822" s="68"/>
      <c r="K822" s="69"/>
      <c r="L822" s="102"/>
      <c r="M822" s="102"/>
      <c r="N822" s="68"/>
      <c r="O822" s="68"/>
      <c r="P822" s="106"/>
      <c r="Q822" s="107"/>
      <c r="R822" s="107"/>
      <c r="S822" s="107"/>
      <c r="T822" s="107"/>
    </row>
    <row r="823" spans="2:20" x14ac:dyDescent="0.25">
      <c r="B823" s="68"/>
      <c r="C823" s="68"/>
      <c r="D823" s="68"/>
      <c r="E823" s="68"/>
      <c r="F823" s="68"/>
      <c r="G823" s="95" t="str">
        <f t="shared" si="12"/>
        <v/>
      </c>
      <c r="H823" s="91" t="str">
        <f>IF(E823&lt;&gt;"",E823/'Project Summary'!$C$9,"")</f>
        <v/>
      </c>
      <c r="I823" s="97" t="str">
        <f>IF(F823&lt;&gt;"",F823/'Project Summary'!$C$10, "")</f>
        <v/>
      </c>
      <c r="J823" s="68"/>
      <c r="K823" s="69"/>
      <c r="L823" s="102"/>
      <c r="M823" s="102"/>
      <c r="N823" s="68"/>
      <c r="O823" s="68"/>
      <c r="P823" s="106"/>
      <c r="Q823" s="107"/>
      <c r="R823" s="107"/>
      <c r="S823" s="107"/>
      <c r="T823" s="107"/>
    </row>
    <row r="824" spans="2:20" x14ac:dyDescent="0.25">
      <c r="B824" s="68"/>
      <c r="C824" s="68"/>
      <c r="D824" s="68"/>
      <c r="E824" s="68"/>
      <c r="F824" s="68"/>
      <c r="G824" s="95" t="str">
        <f t="shared" si="12"/>
        <v/>
      </c>
      <c r="H824" s="91" t="str">
        <f>IF(E824&lt;&gt;"",E824/'Project Summary'!$C$9,"")</f>
        <v/>
      </c>
      <c r="I824" s="97" t="str">
        <f>IF(F824&lt;&gt;"",F824/'Project Summary'!$C$10, "")</f>
        <v/>
      </c>
      <c r="J824" s="68"/>
      <c r="K824" s="69"/>
      <c r="L824" s="102"/>
      <c r="M824" s="102"/>
      <c r="N824" s="68"/>
      <c r="O824" s="68"/>
      <c r="P824" s="106"/>
      <c r="Q824" s="107"/>
      <c r="R824" s="107"/>
      <c r="S824" s="107"/>
      <c r="T824" s="107"/>
    </row>
    <row r="825" spans="2:20" x14ac:dyDescent="0.25">
      <c r="B825" s="68"/>
      <c r="C825" s="68"/>
      <c r="D825" s="68"/>
      <c r="E825" s="68"/>
      <c r="F825" s="68"/>
      <c r="G825" s="95" t="str">
        <f t="shared" si="12"/>
        <v/>
      </c>
      <c r="H825" s="91" t="str">
        <f>IF(E825&lt;&gt;"",E825/'Project Summary'!$C$9,"")</f>
        <v/>
      </c>
      <c r="I825" s="97" t="str">
        <f>IF(F825&lt;&gt;"",F825/'Project Summary'!$C$10, "")</f>
        <v/>
      </c>
      <c r="J825" s="68"/>
      <c r="K825" s="69"/>
      <c r="L825" s="102"/>
      <c r="M825" s="102"/>
      <c r="N825" s="68"/>
      <c r="O825" s="68"/>
      <c r="P825" s="106"/>
      <c r="Q825" s="107"/>
      <c r="R825" s="107"/>
      <c r="S825" s="107"/>
      <c r="T825" s="107"/>
    </row>
    <row r="826" spans="2:20" x14ac:dyDescent="0.25">
      <c r="B826" s="68"/>
      <c r="C826" s="68"/>
      <c r="D826" s="68"/>
      <c r="E826" s="68"/>
      <c r="F826" s="68"/>
      <c r="G826" s="95" t="str">
        <f t="shared" si="12"/>
        <v/>
      </c>
      <c r="H826" s="91" t="str">
        <f>IF(E826&lt;&gt;"",E826/'Project Summary'!$C$9,"")</f>
        <v/>
      </c>
      <c r="I826" s="97" t="str">
        <f>IF(F826&lt;&gt;"",F826/'Project Summary'!$C$10, "")</f>
        <v/>
      </c>
      <c r="J826" s="68"/>
      <c r="K826" s="69"/>
      <c r="L826" s="102"/>
      <c r="M826" s="102"/>
      <c r="N826" s="68"/>
      <c r="O826" s="68"/>
      <c r="P826" s="106"/>
      <c r="Q826" s="107"/>
      <c r="R826" s="107"/>
      <c r="S826" s="107"/>
      <c r="T826" s="107"/>
    </row>
    <row r="827" spans="2:20" x14ac:dyDescent="0.25">
      <c r="B827" s="68"/>
      <c r="C827" s="68"/>
      <c r="D827" s="68"/>
      <c r="E827" s="68"/>
      <c r="F827" s="68"/>
      <c r="G827" s="95" t="str">
        <f t="shared" si="12"/>
        <v/>
      </c>
      <c r="H827" s="91" t="str">
        <f>IF(E827&lt;&gt;"",E827/'Project Summary'!$C$9,"")</f>
        <v/>
      </c>
      <c r="I827" s="97" t="str">
        <f>IF(F827&lt;&gt;"",F827/'Project Summary'!$C$10, "")</f>
        <v/>
      </c>
      <c r="J827" s="68"/>
      <c r="K827" s="69"/>
      <c r="L827" s="102"/>
      <c r="M827" s="102"/>
      <c r="N827" s="68"/>
      <c r="O827" s="68"/>
      <c r="P827" s="106"/>
      <c r="Q827" s="107"/>
      <c r="R827" s="107"/>
      <c r="S827" s="107"/>
      <c r="T827" s="107"/>
    </row>
    <row r="828" spans="2:20" x14ac:dyDescent="0.25">
      <c r="B828" s="68"/>
      <c r="C828" s="68"/>
      <c r="D828" s="68"/>
      <c r="E828" s="68"/>
      <c r="F828" s="68"/>
      <c r="G828" s="95" t="str">
        <f t="shared" si="12"/>
        <v/>
      </c>
      <c r="H828" s="91" t="str">
        <f>IF(E828&lt;&gt;"",E828/'Project Summary'!$C$9,"")</f>
        <v/>
      </c>
      <c r="I828" s="97" t="str">
        <f>IF(F828&lt;&gt;"",F828/'Project Summary'!$C$10, "")</f>
        <v/>
      </c>
      <c r="J828" s="68"/>
      <c r="K828" s="69"/>
      <c r="L828" s="102"/>
      <c r="M828" s="102"/>
      <c r="N828" s="68"/>
      <c r="O828" s="68"/>
      <c r="P828" s="106"/>
      <c r="Q828" s="107"/>
      <c r="R828" s="107"/>
      <c r="S828" s="107"/>
      <c r="T828" s="107"/>
    </row>
    <row r="829" spans="2:20" x14ac:dyDescent="0.25">
      <c r="B829" s="68"/>
      <c r="C829" s="68"/>
      <c r="D829" s="68"/>
      <c r="E829" s="68"/>
      <c r="F829" s="68"/>
      <c r="G829" s="95" t="str">
        <f t="shared" si="12"/>
        <v/>
      </c>
      <c r="H829" s="91" t="str">
        <f>IF(E829&lt;&gt;"",E829/'Project Summary'!$C$9,"")</f>
        <v/>
      </c>
      <c r="I829" s="97" t="str">
        <f>IF(F829&lt;&gt;"",F829/'Project Summary'!$C$10, "")</f>
        <v/>
      </c>
      <c r="J829" s="68"/>
      <c r="K829" s="69"/>
      <c r="L829" s="102"/>
      <c r="M829" s="102"/>
      <c r="N829" s="68"/>
      <c r="O829" s="68"/>
      <c r="P829" s="106"/>
      <c r="Q829" s="107"/>
      <c r="R829" s="107"/>
      <c r="S829" s="107"/>
      <c r="T829" s="107"/>
    </row>
    <row r="830" spans="2:20" x14ac:dyDescent="0.25">
      <c r="B830" s="68"/>
      <c r="C830" s="68"/>
      <c r="D830" s="68"/>
      <c r="E830" s="68"/>
      <c r="F830" s="68"/>
      <c r="G830" s="95" t="str">
        <f t="shared" si="12"/>
        <v/>
      </c>
      <c r="H830" s="91" t="str">
        <f>IF(E830&lt;&gt;"",E830/'Project Summary'!$C$9,"")</f>
        <v/>
      </c>
      <c r="I830" s="97" t="str">
        <f>IF(F830&lt;&gt;"",F830/'Project Summary'!$C$10, "")</f>
        <v/>
      </c>
      <c r="J830" s="68"/>
      <c r="K830" s="69"/>
      <c r="L830" s="102"/>
      <c r="M830" s="102"/>
      <c r="N830" s="68"/>
      <c r="O830" s="68"/>
      <c r="P830" s="106"/>
      <c r="Q830" s="107"/>
      <c r="R830" s="107"/>
      <c r="S830" s="107"/>
      <c r="T830" s="107"/>
    </row>
    <row r="831" spans="2:20" x14ac:dyDescent="0.25">
      <c r="B831" s="68"/>
      <c r="C831" s="68"/>
      <c r="D831" s="68"/>
      <c r="E831" s="68"/>
      <c r="F831" s="68"/>
      <c r="G831" s="95" t="str">
        <f t="shared" si="12"/>
        <v/>
      </c>
      <c r="H831" s="91" t="str">
        <f>IF(E831&lt;&gt;"",E831/'Project Summary'!$C$9,"")</f>
        <v/>
      </c>
      <c r="I831" s="97" t="str">
        <f>IF(F831&lt;&gt;"",F831/'Project Summary'!$C$10, "")</f>
        <v/>
      </c>
      <c r="J831" s="68"/>
      <c r="K831" s="69"/>
      <c r="L831" s="102"/>
      <c r="M831" s="102"/>
      <c r="N831" s="68"/>
      <c r="O831" s="68"/>
      <c r="P831" s="106"/>
      <c r="Q831" s="107"/>
      <c r="R831" s="107"/>
      <c r="S831" s="107"/>
      <c r="T831" s="107"/>
    </row>
    <row r="832" spans="2:20" x14ac:dyDescent="0.25">
      <c r="B832" s="68"/>
      <c r="C832" s="68"/>
      <c r="D832" s="68"/>
      <c r="E832" s="68"/>
      <c r="F832" s="68"/>
      <c r="G832" s="95" t="str">
        <f t="shared" si="12"/>
        <v/>
      </c>
      <c r="H832" s="91" t="str">
        <f>IF(E832&lt;&gt;"",E832/'Project Summary'!$C$9,"")</f>
        <v/>
      </c>
      <c r="I832" s="97" t="str">
        <f>IF(F832&lt;&gt;"",F832/'Project Summary'!$C$10, "")</f>
        <v/>
      </c>
      <c r="J832" s="68"/>
      <c r="K832" s="69"/>
      <c r="L832" s="102"/>
      <c r="M832" s="102"/>
      <c r="N832" s="68"/>
      <c r="O832" s="68"/>
      <c r="P832" s="106"/>
      <c r="Q832" s="107"/>
      <c r="R832" s="107"/>
      <c r="S832" s="107"/>
      <c r="T832" s="107"/>
    </row>
    <row r="833" spans="2:20" x14ac:dyDescent="0.25">
      <c r="B833" s="68"/>
      <c r="C833" s="68"/>
      <c r="D833" s="68"/>
      <c r="E833" s="68"/>
      <c r="F833" s="68"/>
      <c r="G833" s="95" t="str">
        <f t="shared" si="12"/>
        <v/>
      </c>
      <c r="H833" s="91" t="str">
        <f>IF(E833&lt;&gt;"",E833/'Project Summary'!$C$9,"")</f>
        <v/>
      </c>
      <c r="I833" s="97" t="str">
        <f>IF(F833&lt;&gt;"",F833/'Project Summary'!$C$10, "")</f>
        <v/>
      </c>
      <c r="J833" s="68"/>
      <c r="K833" s="69"/>
      <c r="L833" s="102"/>
      <c r="M833" s="102"/>
      <c r="N833" s="68"/>
      <c r="O833" s="68"/>
      <c r="P833" s="106"/>
      <c r="Q833" s="107"/>
      <c r="R833" s="107"/>
      <c r="S833" s="107"/>
      <c r="T833" s="107"/>
    </row>
    <row r="834" spans="2:20" x14ac:dyDescent="0.25">
      <c r="B834" s="68"/>
      <c r="C834" s="68"/>
      <c r="D834" s="68"/>
      <c r="E834" s="68"/>
      <c r="F834" s="68"/>
      <c r="G834" s="95" t="str">
        <f t="shared" si="12"/>
        <v/>
      </c>
      <c r="H834" s="91" t="str">
        <f>IF(E834&lt;&gt;"",E834/'Project Summary'!$C$9,"")</f>
        <v/>
      </c>
      <c r="I834" s="97" t="str">
        <f>IF(F834&lt;&gt;"",F834/'Project Summary'!$C$10, "")</f>
        <v/>
      </c>
      <c r="J834" s="68"/>
      <c r="K834" s="69"/>
      <c r="L834" s="102"/>
      <c r="M834" s="102"/>
      <c r="N834" s="68"/>
      <c r="O834" s="68"/>
      <c r="P834" s="106"/>
      <c r="Q834" s="107"/>
      <c r="R834" s="107"/>
      <c r="S834" s="107"/>
      <c r="T834" s="107"/>
    </row>
    <row r="835" spans="2:20" x14ac:dyDescent="0.25">
      <c r="B835" s="68"/>
      <c r="C835" s="68"/>
      <c r="D835" s="68"/>
      <c r="E835" s="68"/>
      <c r="F835" s="68"/>
      <c r="G835" s="95" t="str">
        <f t="shared" si="12"/>
        <v/>
      </c>
      <c r="H835" s="91" t="str">
        <f>IF(E835&lt;&gt;"",E835/'Project Summary'!$C$9,"")</f>
        <v/>
      </c>
      <c r="I835" s="97" t="str">
        <f>IF(F835&lt;&gt;"",F835/'Project Summary'!$C$10, "")</f>
        <v/>
      </c>
      <c r="J835" s="68"/>
      <c r="K835" s="69"/>
      <c r="L835" s="102"/>
      <c r="M835" s="102"/>
      <c r="N835" s="68"/>
      <c r="O835" s="68"/>
      <c r="P835" s="106"/>
      <c r="Q835" s="107"/>
      <c r="R835" s="107"/>
      <c r="S835" s="107"/>
      <c r="T835" s="107"/>
    </row>
    <row r="836" spans="2:20" x14ac:dyDescent="0.25">
      <c r="B836" s="68"/>
      <c r="C836" s="68"/>
      <c r="D836" s="68"/>
      <c r="E836" s="68"/>
      <c r="F836" s="68"/>
      <c r="G836" s="95" t="str">
        <f t="shared" si="12"/>
        <v/>
      </c>
      <c r="H836" s="91" t="str">
        <f>IF(E836&lt;&gt;"",E836/'Project Summary'!$C$9,"")</f>
        <v/>
      </c>
      <c r="I836" s="97" t="str">
        <f>IF(F836&lt;&gt;"",F836/'Project Summary'!$C$10, "")</f>
        <v/>
      </c>
      <c r="J836" s="68"/>
      <c r="K836" s="69"/>
      <c r="L836" s="102"/>
      <c r="M836" s="102"/>
      <c r="N836" s="68"/>
      <c r="O836" s="68"/>
      <c r="P836" s="106"/>
      <c r="Q836" s="107"/>
      <c r="R836" s="107"/>
      <c r="S836" s="107"/>
      <c r="T836" s="107"/>
    </row>
    <row r="837" spans="2:20" x14ac:dyDescent="0.25">
      <c r="B837" s="68"/>
      <c r="C837" s="68"/>
      <c r="D837" s="68"/>
      <c r="E837" s="68"/>
      <c r="F837" s="68"/>
      <c r="G837" s="95" t="str">
        <f t="shared" si="12"/>
        <v/>
      </c>
      <c r="H837" s="91" t="str">
        <f>IF(E837&lt;&gt;"",E837/'Project Summary'!$C$9,"")</f>
        <v/>
      </c>
      <c r="I837" s="97" t="str">
        <f>IF(F837&lt;&gt;"",F837/'Project Summary'!$C$10, "")</f>
        <v/>
      </c>
      <c r="J837" s="68"/>
      <c r="K837" s="69"/>
      <c r="L837" s="102"/>
      <c r="M837" s="102"/>
      <c r="N837" s="68"/>
      <c r="O837" s="68"/>
      <c r="P837" s="106"/>
      <c r="Q837" s="107"/>
      <c r="R837" s="107"/>
      <c r="S837" s="107"/>
      <c r="T837" s="107"/>
    </row>
    <row r="838" spans="2:20" x14ac:dyDescent="0.25">
      <c r="B838" s="68"/>
      <c r="C838" s="68"/>
      <c r="D838" s="68"/>
      <c r="E838" s="68"/>
      <c r="F838" s="68"/>
      <c r="G838" s="95" t="str">
        <f t="shared" si="12"/>
        <v/>
      </c>
      <c r="H838" s="91" t="str">
        <f>IF(E838&lt;&gt;"",E838/'Project Summary'!$C$9,"")</f>
        <v/>
      </c>
      <c r="I838" s="97" t="str">
        <f>IF(F838&lt;&gt;"",F838/'Project Summary'!$C$10, "")</f>
        <v/>
      </c>
      <c r="J838" s="68"/>
      <c r="K838" s="69"/>
      <c r="L838" s="102"/>
      <c r="M838" s="102"/>
      <c r="N838" s="68"/>
      <c r="O838" s="68"/>
      <c r="P838" s="106"/>
      <c r="Q838" s="107"/>
      <c r="R838" s="107"/>
      <c r="S838" s="107"/>
      <c r="T838" s="107"/>
    </row>
    <row r="839" spans="2:20" x14ac:dyDescent="0.25">
      <c r="B839" s="68"/>
      <c r="C839" s="68"/>
      <c r="D839" s="68"/>
      <c r="E839" s="68"/>
      <c r="F839" s="68"/>
      <c r="G839" s="95" t="str">
        <f t="shared" si="12"/>
        <v/>
      </c>
      <c r="H839" s="91" t="str">
        <f>IF(E839&lt;&gt;"",E839/'Project Summary'!$C$9,"")</f>
        <v/>
      </c>
      <c r="I839" s="97" t="str">
        <f>IF(F839&lt;&gt;"",F839/'Project Summary'!$C$10, "")</f>
        <v/>
      </c>
      <c r="J839" s="68"/>
      <c r="K839" s="69"/>
      <c r="L839" s="102"/>
      <c r="M839" s="102"/>
      <c r="N839" s="68"/>
      <c r="O839" s="68"/>
      <c r="P839" s="106"/>
      <c r="Q839" s="107"/>
      <c r="R839" s="107"/>
      <c r="S839" s="107"/>
      <c r="T839" s="107"/>
    </row>
    <row r="840" spans="2:20" x14ac:dyDescent="0.25">
      <c r="B840" s="68"/>
      <c r="C840" s="68"/>
      <c r="D840" s="68"/>
      <c r="E840" s="68"/>
      <c r="F840" s="68"/>
      <c r="G840" s="95" t="str">
        <f t="shared" si="12"/>
        <v/>
      </c>
      <c r="H840" s="91" t="str">
        <f>IF(E840&lt;&gt;"",E840/'Project Summary'!$C$9,"")</f>
        <v/>
      </c>
      <c r="I840" s="97" t="str">
        <f>IF(F840&lt;&gt;"",F840/'Project Summary'!$C$10, "")</f>
        <v/>
      </c>
      <c r="J840" s="68"/>
      <c r="K840" s="69"/>
      <c r="L840" s="102"/>
      <c r="M840" s="102"/>
      <c r="N840" s="68"/>
      <c r="O840" s="68"/>
      <c r="P840" s="106"/>
      <c r="Q840" s="107"/>
      <c r="R840" s="107"/>
      <c r="S840" s="107"/>
      <c r="T840" s="107"/>
    </row>
    <row r="841" spans="2:20" x14ac:dyDescent="0.25">
      <c r="B841" s="68"/>
      <c r="C841" s="68"/>
      <c r="D841" s="68"/>
      <c r="E841" s="68"/>
      <c r="F841" s="68"/>
      <c r="G841" s="95" t="str">
        <f t="shared" si="12"/>
        <v/>
      </c>
      <c r="H841" s="91" t="str">
        <f>IF(E841&lt;&gt;"",E841/'Project Summary'!$C$9,"")</f>
        <v/>
      </c>
      <c r="I841" s="97" t="str">
        <f>IF(F841&lt;&gt;"",F841/'Project Summary'!$C$10, "")</f>
        <v/>
      </c>
      <c r="J841" s="68"/>
      <c r="K841" s="69"/>
      <c r="L841" s="102"/>
      <c r="M841" s="102"/>
      <c r="N841" s="68"/>
      <c r="O841" s="68"/>
      <c r="P841" s="106"/>
      <c r="Q841" s="107"/>
      <c r="R841" s="107"/>
      <c r="S841" s="107"/>
      <c r="T841" s="107"/>
    </row>
    <row r="842" spans="2:20" x14ac:dyDescent="0.25">
      <c r="B842" s="68"/>
      <c r="C842" s="68"/>
      <c r="D842" s="68"/>
      <c r="E842" s="68"/>
      <c r="F842" s="68"/>
      <c r="G842" s="95" t="str">
        <f t="shared" si="12"/>
        <v/>
      </c>
      <c r="H842" s="91" t="str">
        <f>IF(E842&lt;&gt;"",E842/'Project Summary'!$C$9,"")</f>
        <v/>
      </c>
      <c r="I842" s="97" t="str">
        <f>IF(F842&lt;&gt;"",F842/'Project Summary'!$C$10, "")</f>
        <v/>
      </c>
      <c r="J842" s="68"/>
      <c r="K842" s="69"/>
      <c r="L842" s="102"/>
      <c r="M842" s="102"/>
      <c r="N842" s="68"/>
      <c r="O842" s="68"/>
      <c r="P842" s="106"/>
      <c r="Q842" s="107"/>
      <c r="R842" s="107"/>
      <c r="S842" s="107"/>
      <c r="T842" s="107"/>
    </row>
    <row r="843" spans="2:20" x14ac:dyDescent="0.25">
      <c r="B843" s="68"/>
      <c r="C843" s="68"/>
      <c r="D843" s="68"/>
      <c r="E843" s="68"/>
      <c r="F843" s="68"/>
      <c r="G843" s="95" t="str">
        <f t="shared" si="12"/>
        <v/>
      </c>
      <c r="H843" s="91" t="str">
        <f>IF(E843&lt;&gt;"",E843/'Project Summary'!$C$9,"")</f>
        <v/>
      </c>
      <c r="I843" s="97" t="str">
        <f>IF(F843&lt;&gt;"",F843/'Project Summary'!$C$10, "")</f>
        <v/>
      </c>
      <c r="J843" s="68"/>
      <c r="K843" s="69"/>
      <c r="L843" s="102"/>
      <c r="M843" s="102"/>
      <c r="N843" s="68"/>
      <c r="O843" s="68"/>
      <c r="P843" s="106"/>
      <c r="Q843" s="107"/>
      <c r="R843" s="107"/>
      <c r="S843" s="107"/>
      <c r="T843" s="107"/>
    </row>
    <row r="844" spans="2:20" x14ac:dyDescent="0.25">
      <c r="B844" s="68"/>
      <c r="C844" s="68"/>
      <c r="D844" s="68"/>
      <c r="E844" s="68"/>
      <c r="F844" s="68"/>
      <c r="G844" s="95" t="str">
        <f t="shared" ref="G844:G907" si="13">IF(D844&lt;&gt;"", D844/E844, "")</f>
        <v/>
      </c>
      <c r="H844" s="91" t="str">
        <f>IF(E844&lt;&gt;"",E844/'Project Summary'!$C$9,"")</f>
        <v/>
      </c>
      <c r="I844" s="97" t="str">
        <f>IF(F844&lt;&gt;"",F844/'Project Summary'!$C$10, "")</f>
        <v/>
      </c>
      <c r="J844" s="68"/>
      <c r="K844" s="69"/>
      <c r="L844" s="102"/>
      <c r="M844" s="102"/>
      <c r="N844" s="68"/>
      <c r="O844" s="68"/>
      <c r="P844" s="106"/>
      <c r="Q844" s="107"/>
      <c r="R844" s="107"/>
      <c r="S844" s="107"/>
      <c r="T844" s="107"/>
    </row>
    <row r="845" spans="2:20" x14ac:dyDescent="0.25">
      <c r="B845" s="68"/>
      <c r="C845" s="68"/>
      <c r="D845" s="68"/>
      <c r="E845" s="68"/>
      <c r="F845" s="68"/>
      <c r="G845" s="95" t="str">
        <f t="shared" si="13"/>
        <v/>
      </c>
      <c r="H845" s="91" t="str">
        <f>IF(E845&lt;&gt;"",E845/'Project Summary'!$C$9,"")</f>
        <v/>
      </c>
      <c r="I845" s="97" t="str">
        <f>IF(F845&lt;&gt;"",F845/'Project Summary'!$C$10, "")</f>
        <v/>
      </c>
      <c r="J845" s="68"/>
      <c r="K845" s="69"/>
      <c r="L845" s="102"/>
      <c r="M845" s="102"/>
      <c r="N845" s="68"/>
      <c r="O845" s="68"/>
      <c r="P845" s="106"/>
      <c r="Q845" s="107"/>
      <c r="R845" s="107"/>
      <c r="S845" s="107"/>
      <c r="T845" s="107"/>
    </row>
    <row r="846" spans="2:20" x14ac:dyDescent="0.25">
      <c r="B846" s="68"/>
      <c r="C846" s="68"/>
      <c r="D846" s="68"/>
      <c r="E846" s="68"/>
      <c r="F846" s="68"/>
      <c r="G846" s="95" t="str">
        <f t="shared" si="13"/>
        <v/>
      </c>
      <c r="H846" s="91" t="str">
        <f>IF(E846&lt;&gt;"",E846/'Project Summary'!$C$9,"")</f>
        <v/>
      </c>
      <c r="I846" s="97" t="str">
        <f>IF(F846&lt;&gt;"",F846/'Project Summary'!$C$10, "")</f>
        <v/>
      </c>
      <c r="J846" s="68"/>
      <c r="K846" s="69"/>
      <c r="L846" s="102"/>
      <c r="M846" s="102"/>
      <c r="N846" s="68"/>
      <c r="O846" s="68"/>
      <c r="P846" s="106"/>
      <c r="Q846" s="107"/>
      <c r="R846" s="107"/>
      <c r="S846" s="107"/>
      <c r="T846" s="107"/>
    </row>
    <row r="847" spans="2:20" x14ac:dyDescent="0.25">
      <c r="B847" s="68"/>
      <c r="C847" s="68"/>
      <c r="D847" s="68"/>
      <c r="E847" s="68"/>
      <c r="F847" s="68"/>
      <c r="G847" s="95" t="str">
        <f t="shared" si="13"/>
        <v/>
      </c>
      <c r="H847" s="91" t="str">
        <f>IF(E847&lt;&gt;"",E847/'Project Summary'!$C$9,"")</f>
        <v/>
      </c>
      <c r="I847" s="97" t="str">
        <f>IF(F847&lt;&gt;"",F847/'Project Summary'!$C$10, "")</f>
        <v/>
      </c>
      <c r="J847" s="68"/>
      <c r="K847" s="69"/>
      <c r="L847" s="102"/>
      <c r="M847" s="102"/>
      <c r="N847" s="68"/>
      <c r="O847" s="68"/>
      <c r="P847" s="106"/>
      <c r="Q847" s="107"/>
      <c r="R847" s="107"/>
      <c r="S847" s="107"/>
      <c r="T847" s="107"/>
    </row>
    <row r="848" spans="2:20" x14ac:dyDescent="0.25">
      <c r="B848" s="68"/>
      <c r="C848" s="68"/>
      <c r="D848" s="68"/>
      <c r="E848" s="68"/>
      <c r="F848" s="68"/>
      <c r="G848" s="95" t="str">
        <f t="shared" si="13"/>
        <v/>
      </c>
      <c r="H848" s="91" t="str">
        <f>IF(E848&lt;&gt;"",E848/'Project Summary'!$C$9,"")</f>
        <v/>
      </c>
      <c r="I848" s="97" t="str">
        <f>IF(F848&lt;&gt;"",F848/'Project Summary'!$C$10, "")</f>
        <v/>
      </c>
      <c r="J848" s="68"/>
      <c r="K848" s="69"/>
      <c r="L848" s="102"/>
      <c r="M848" s="102"/>
      <c r="N848" s="68"/>
      <c r="O848" s="68"/>
      <c r="P848" s="106"/>
      <c r="Q848" s="107"/>
      <c r="R848" s="107"/>
      <c r="S848" s="107"/>
      <c r="T848" s="107"/>
    </row>
    <row r="849" spans="2:20" x14ac:dyDescent="0.25">
      <c r="B849" s="68"/>
      <c r="C849" s="68"/>
      <c r="D849" s="68"/>
      <c r="E849" s="68"/>
      <c r="F849" s="68"/>
      <c r="G849" s="95" t="str">
        <f t="shared" si="13"/>
        <v/>
      </c>
      <c r="H849" s="91" t="str">
        <f>IF(E849&lt;&gt;"",E849/'Project Summary'!$C$9,"")</f>
        <v/>
      </c>
      <c r="I849" s="97" t="str">
        <f>IF(F849&lt;&gt;"",F849/'Project Summary'!$C$10, "")</f>
        <v/>
      </c>
      <c r="J849" s="68"/>
      <c r="K849" s="69"/>
      <c r="L849" s="102"/>
      <c r="M849" s="102"/>
      <c r="N849" s="68"/>
      <c r="O849" s="68"/>
      <c r="P849" s="106"/>
      <c r="Q849" s="107"/>
      <c r="R849" s="107"/>
      <c r="S849" s="107"/>
      <c r="T849" s="107"/>
    </row>
    <row r="850" spans="2:20" x14ac:dyDescent="0.25">
      <c r="B850" s="68"/>
      <c r="C850" s="68"/>
      <c r="D850" s="68"/>
      <c r="E850" s="68"/>
      <c r="F850" s="68"/>
      <c r="G850" s="95" t="str">
        <f t="shared" si="13"/>
        <v/>
      </c>
      <c r="H850" s="91" t="str">
        <f>IF(E850&lt;&gt;"",E850/'Project Summary'!$C$9,"")</f>
        <v/>
      </c>
      <c r="I850" s="97" t="str">
        <f>IF(F850&lt;&gt;"",F850/'Project Summary'!$C$10, "")</f>
        <v/>
      </c>
      <c r="J850" s="68"/>
      <c r="K850" s="69"/>
      <c r="L850" s="102"/>
      <c r="M850" s="102"/>
      <c r="N850" s="68"/>
      <c r="O850" s="68"/>
      <c r="P850" s="106"/>
      <c r="Q850" s="107"/>
      <c r="R850" s="107"/>
      <c r="S850" s="107"/>
      <c r="T850" s="107"/>
    </row>
    <row r="851" spans="2:20" x14ac:dyDescent="0.25">
      <c r="B851" s="68"/>
      <c r="C851" s="68"/>
      <c r="D851" s="68"/>
      <c r="E851" s="68"/>
      <c r="F851" s="68"/>
      <c r="G851" s="95" t="str">
        <f t="shared" si="13"/>
        <v/>
      </c>
      <c r="H851" s="91" t="str">
        <f>IF(E851&lt;&gt;"",E851/'Project Summary'!$C$9,"")</f>
        <v/>
      </c>
      <c r="I851" s="97" t="str">
        <f>IF(F851&lt;&gt;"",F851/'Project Summary'!$C$10, "")</f>
        <v/>
      </c>
      <c r="J851" s="68"/>
      <c r="K851" s="69"/>
      <c r="L851" s="102"/>
      <c r="M851" s="102"/>
      <c r="N851" s="68"/>
      <c r="O851" s="68"/>
      <c r="P851" s="106"/>
      <c r="Q851" s="107"/>
      <c r="R851" s="107"/>
      <c r="S851" s="107"/>
      <c r="T851" s="107"/>
    </row>
    <row r="852" spans="2:20" x14ac:dyDescent="0.25">
      <c r="B852" s="68"/>
      <c r="C852" s="68"/>
      <c r="D852" s="68"/>
      <c r="E852" s="68"/>
      <c r="F852" s="68"/>
      <c r="G852" s="95" t="str">
        <f t="shared" si="13"/>
        <v/>
      </c>
      <c r="H852" s="91" t="str">
        <f>IF(E852&lt;&gt;"",E852/'Project Summary'!$C$9,"")</f>
        <v/>
      </c>
      <c r="I852" s="97" t="str">
        <f>IF(F852&lt;&gt;"",F852/'Project Summary'!$C$10, "")</f>
        <v/>
      </c>
      <c r="J852" s="68"/>
      <c r="K852" s="69"/>
      <c r="L852" s="102"/>
      <c r="M852" s="102"/>
      <c r="N852" s="68"/>
      <c r="O852" s="68"/>
      <c r="P852" s="106"/>
      <c r="Q852" s="107"/>
      <c r="R852" s="107"/>
      <c r="S852" s="107"/>
      <c r="T852" s="107"/>
    </row>
    <row r="853" spans="2:20" x14ac:dyDescent="0.25">
      <c r="B853" s="68"/>
      <c r="C853" s="68"/>
      <c r="D853" s="68"/>
      <c r="E853" s="68"/>
      <c r="F853" s="68"/>
      <c r="G853" s="95" t="str">
        <f t="shared" si="13"/>
        <v/>
      </c>
      <c r="H853" s="91" t="str">
        <f>IF(E853&lt;&gt;"",E853/'Project Summary'!$C$9,"")</f>
        <v/>
      </c>
      <c r="I853" s="97" t="str">
        <f>IF(F853&lt;&gt;"",F853/'Project Summary'!$C$10, "")</f>
        <v/>
      </c>
      <c r="J853" s="68"/>
      <c r="K853" s="69"/>
      <c r="L853" s="102"/>
      <c r="M853" s="102"/>
      <c r="N853" s="68"/>
      <c r="O853" s="68"/>
      <c r="P853" s="106"/>
      <c r="Q853" s="107"/>
      <c r="R853" s="107"/>
      <c r="S853" s="107"/>
      <c r="T853" s="107"/>
    </row>
    <row r="854" spans="2:20" x14ac:dyDescent="0.25">
      <c r="B854" s="68"/>
      <c r="C854" s="68"/>
      <c r="D854" s="68"/>
      <c r="E854" s="68"/>
      <c r="F854" s="68"/>
      <c r="G854" s="95" t="str">
        <f t="shared" si="13"/>
        <v/>
      </c>
      <c r="H854" s="91" t="str">
        <f>IF(E854&lt;&gt;"",E854/'Project Summary'!$C$9,"")</f>
        <v/>
      </c>
      <c r="I854" s="97" t="str">
        <f>IF(F854&lt;&gt;"",F854/'Project Summary'!$C$10, "")</f>
        <v/>
      </c>
      <c r="J854" s="68"/>
      <c r="K854" s="69"/>
      <c r="L854" s="102"/>
      <c r="M854" s="102"/>
      <c r="N854" s="68"/>
      <c r="O854" s="68"/>
      <c r="P854" s="106"/>
      <c r="Q854" s="107"/>
      <c r="R854" s="107"/>
      <c r="S854" s="107"/>
      <c r="T854" s="107"/>
    </row>
    <row r="855" spans="2:20" x14ac:dyDescent="0.25">
      <c r="B855" s="68"/>
      <c r="C855" s="68"/>
      <c r="D855" s="68"/>
      <c r="E855" s="68"/>
      <c r="F855" s="68"/>
      <c r="G855" s="95" t="str">
        <f t="shared" si="13"/>
        <v/>
      </c>
      <c r="H855" s="91" t="str">
        <f>IF(E855&lt;&gt;"",E855/'Project Summary'!$C$9,"")</f>
        <v/>
      </c>
      <c r="I855" s="97" t="str">
        <f>IF(F855&lt;&gt;"",F855/'Project Summary'!$C$10, "")</f>
        <v/>
      </c>
      <c r="J855" s="68"/>
      <c r="K855" s="69"/>
      <c r="L855" s="102"/>
      <c r="M855" s="102"/>
      <c r="N855" s="68"/>
      <c r="O855" s="68"/>
      <c r="P855" s="106"/>
      <c r="Q855" s="107"/>
      <c r="R855" s="107"/>
      <c r="S855" s="107"/>
      <c r="T855" s="107"/>
    </row>
    <row r="856" spans="2:20" x14ac:dyDescent="0.25">
      <c r="B856" s="68"/>
      <c r="C856" s="68"/>
      <c r="D856" s="68"/>
      <c r="E856" s="68"/>
      <c r="F856" s="68"/>
      <c r="G856" s="95" t="str">
        <f t="shared" si="13"/>
        <v/>
      </c>
      <c r="H856" s="91" t="str">
        <f>IF(E856&lt;&gt;"",E856/'Project Summary'!$C$9,"")</f>
        <v/>
      </c>
      <c r="I856" s="97" t="str">
        <f>IF(F856&lt;&gt;"",F856/'Project Summary'!$C$10, "")</f>
        <v/>
      </c>
      <c r="J856" s="68"/>
      <c r="K856" s="69"/>
      <c r="L856" s="102"/>
      <c r="M856" s="102"/>
      <c r="N856" s="68"/>
      <c r="O856" s="68"/>
      <c r="P856" s="106"/>
      <c r="Q856" s="107"/>
      <c r="R856" s="107"/>
      <c r="S856" s="107"/>
      <c r="T856" s="107"/>
    </row>
    <row r="857" spans="2:20" x14ac:dyDescent="0.25">
      <c r="B857" s="68"/>
      <c r="C857" s="68"/>
      <c r="D857" s="68"/>
      <c r="E857" s="68"/>
      <c r="F857" s="68"/>
      <c r="G857" s="95" t="str">
        <f t="shared" si="13"/>
        <v/>
      </c>
      <c r="H857" s="91" t="str">
        <f>IF(E857&lt;&gt;"",E857/'Project Summary'!$C$9,"")</f>
        <v/>
      </c>
      <c r="I857" s="97" t="str">
        <f>IF(F857&lt;&gt;"",F857/'Project Summary'!$C$10, "")</f>
        <v/>
      </c>
      <c r="J857" s="68"/>
      <c r="K857" s="69"/>
      <c r="L857" s="102"/>
      <c r="M857" s="102"/>
      <c r="N857" s="68"/>
      <c r="O857" s="68"/>
      <c r="P857" s="106"/>
      <c r="Q857" s="107"/>
      <c r="R857" s="107"/>
      <c r="S857" s="107"/>
      <c r="T857" s="107"/>
    </row>
    <row r="858" spans="2:20" x14ac:dyDescent="0.25">
      <c r="B858" s="68"/>
      <c r="C858" s="68"/>
      <c r="D858" s="68"/>
      <c r="E858" s="68"/>
      <c r="F858" s="68"/>
      <c r="G858" s="95" t="str">
        <f t="shared" si="13"/>
        <v/>
      </c>
      <c r="H858" s="91" t="str">
        <f>IF(E858&lt;&gt;"",E858/'Project Summary'!$C$9,"")</f>
        <v/>
      </c>
      <c r="I858" s="97" t="str">
        <f>IF(F858&lt;&gt;"",F858/'Project Summary'!$C$10, "")</f>
        <v/>
      </c>
      <c r="J858" s="68"/>
      <c r="K858" s="69"/>
      <c r="L858" s="102"/>
      <c r="M858" s="102"/>
      <c r="N858" s="68"/>
      <c r="O858" s="68"/>
      <c r="P858" s="106"/>
      <c r="Q858" s="107"/>
      <c r="R858" s="107"/>
      <c r="S858" s="107"/>
      <c r="T858" s="107"/>
    </row>
    <row r="859" spans="2:20" x14ac:dyDescent="0.25">
      <c r="B859" s="68"/>
      <c r="C859" s="68"/>
      <c r="D859" s="68"/>
      <c r="E859" s="68"/>
      <c r="F859" s="68"/>
      <c r="G859" s="95" t="str">
        <f t="shared" si="13"/>
        <v/>
      </c>
      <c r="H859" s="91" t="str">
        <f>IF(E859&lt;&gt;"",E859/'Project Summary'!$C$9,"")</f>
        <v/>
      </c>
      <c r="I859" s="97" t="str">
        <f>IF(F859&lt;&gt;"",F859/'Project Summary'!$C$10, "")</f>
        <v/>
      </c>
      <c r="J859" s="68"/>
      <c r="K859" s="69"/>
      <c r="L859" s="102"/>
      <c r="M859" s="102"/>
      <c r="N859" s="68"/>
      <c r="O859" s="68"/>
      <c r="P859" s="106"/>
      <c r="Q859" s="107"/>
      <c r="R859" s="107"/>
      <c r="S859" s="107"/>
      <c r="T859" s="107"/>
    </row>
    <row r="860" spans="2:20" x14ac:dyDescent="0.25">
      <c r="B860" s="68"/>
      <c r="C860" s="68"/>
      <c r="D860" s="68"/>
      <c r="E860" s="68"/>
      <c r="F860" s="68"/>
      <c r="G860" s="95" t="str">
        <f t="shared" si="13"/>
        <v/>
      </c>
      <c r="H860" s="91" t="str">
        <f>IF(E860&lt;&gt;"",E860/'Project Summary'!$C$9,"")</f>
        <v/>
      </c>
      <c r="I860" s="97" t="str">
        <f>IF(F860&lt;&gt;"",F860/'Project Summary'!$C$10, "")</f>
        <v/>
      </c>
      <c r="J860" s="68"/>
      <c r="K860" s="69"/>
      <c r="L860" s="102"/>
      <c r="M860" s="102"/>
      <c r="N860" s="68"/>
      <c r="O860" s="68"/>
      <c r="P860" s="106"/>
      <c r="Q860" s="107"/>
      <c r="R860" s="107"/>
      <c r="S860" s="107"/>
      <c r="T860" s="107"/>
    </row>
    <row r="861" spans="2:20" x14ac:dyDescent="0.25">
      <c r="B861" s="68"/>
      <c r="C861" s="68"/>
      <c r="D861" s="68"/>
      <c r="E861" s="68"/>
      <c r="F861" s="68"/>
      <c r="G861" s="95" t="str">
        <f t="shared" si="13"/>
        <v/>
      </c>
      <c r="H861" s="91" t="str">
        <f>IF(E861&lt;&gt;"",E861/'Project Summary'!$C$9,"")</f>
        <v/>
      </c>
      <c r="I861" s="97" t="str">
        <f>IF(F861&lt;&gt;"",F861/'Project Summary'!$C$10, "")</f>
        <v/>
      </c>
      <c r="J861" s="68"/>
      <c r="K861" s="69"/>
      <c r="L861" s="102"/>
      <c r="M861" s="102"/>
      <c r="N861" s="68"/>
      <c r="O861" s="68"/>
      <c r="P861" s="106"/>
      <c r="Q861" s="107"/>
      <c r="R861" s="107"/>
      <c r="S861" s="107"/>
      <c r="T861" s="107"/>
    </row>
    <row r="862" spans="2:20" x14ac:dyDescent="0.25">
      <c r="B862" s="68"/>
      <c r="C862" s="68"/>
      <c r="D862" s="68"/>
      <c r="E862" s="68"/>
      <c r="F862" s="68"/>
      <c r="G862" s="95" t="str">
        <f t="shared" si="13"/>
        <v/>
      </c>
      <c r="H862" s="91" t="str">
        <f>IF(E862&lt;&gt;"",E862/'Project Summary'!$C$9,"")</f>
        <v/>
      </c>
      <c r="I862" s="97" t="str">
        <f>IF(F862&lt;&gt;"",F862/'Project Summary'!$C$10, "")</f>
        <v/>
      </c>
      <c r="J862" s="68"/>
      <c r="K862" s="69"/>
      <c r="L862" s="102"/>
      <c r="M862" s="102"/>
      <c r="N862" s="68"/>
      <c r="O862" s="68"/>
      <c r="P862" s="106"/>
      <c r="Q862" s="107"/>
      <c r="R862" s="107"/>
      <c r="S862" s="107"/>
      <c r="T862" s="107"/>
    </row>
    <row r="863" spans="2:20" x14ac:dyDescent="0.25">
      <c r="B863" s="68"/>
      <c r="C863" s="68"/>
      <c r="D863" s="68"/>
      <c r="E863" s="68"/>
      <c r="F863" s="68"/>
      <c r="G863" s="95" t="str">
        <f t="shared" si="13"/>
        <v/>
      </c>
      <c r="H863" s="91" t="str">
        <f>IF(E863&lt;&gt;"",E863/'Project Summary'!$C$9,"")</f>
        <v/>
      </c>
      <c r="I863" s="97" t="str">
        <f>IF(F863&lt;&gt;"",F863/'Project Summary'!$C$10, "")</f>
        <v/>
      </c>
      <c r="J863" s="68"/>
      <c r="K863" s="69"/>
      <c r="L863" s="102"/>
      <c r="M863" s="102"/>
      <c r="N863" s="68"/>
      <c r="O863" s="68"/>
      <c r="P863" s="106"/>
      <c r="Q863" s="107"/>
      <c r="R863" s="107"/>
      <c r="S863" s="107"/>
      <c r="T863" s="107"/>
    </row>
    <row r="864" spans="2:20" x14ac:dyDescent="0.25">
      <c r="B864" s="68"/>
      <c r="C864" s="68"/>
      <c r="D864" s="68"/>
      <c r="E864" s="68"/>
      <c r="F864" s="68"/>
      <c r="G864" s="95" t="str">
        <f t="shared" si="13"/>
        <v/>
      </c>
      <c r="H864" s="91" t="str">
        <f>IF(E864&lt;&gt;"",E864/'Project Summary'!$C$9,"")</f>
        <v/>
      </c>
      <c r="I864" s="97" t="str">
        <f>IF(F864&lt;&gt;"",F864/'Project Summary'!$C$10, "")</f>
        <v/>
      </c>
      <c r="J864" s="68"/>
      <c r="K864" s="69"/>
      <c r="L864" s="102"/>
      <c r="M864" s="102"/>
      <c r="N864" s="68"/>
      <c r="O864" s="68"/>
      <c r="P864" s="106"/>
      <c r="Q864" s="107"/>
      <c r="R864" s="107"/>
      <c r="S864" s="107"/>
      <c r="T864" s="107"/>
    </row>
    <row r="865" spans="2:20" x14ac:dyDescent="0.25">
      <c r="B865" s="68"/>
      <c r="C865" s="68"/>
      <c r="D865" s="68"/>
      <c r="E865" s="68"/>
      <c r="F865" s="68"/>
      <c r="G865" s="95" t="str">
        <f t="shared" si="13"/>
        <v/>
      </c>
      <c r="H865" s="91" t="str">
        <f>IF(E865&lt;&gt;"",E865/'Project Summary'!$C$9,"")</f>
        <v/>
      </c>
      <c r="I865" s="97" t="str">
        <f>IF(F865&lt;&gt;"",F865/'Project Summary'!$C$10, "")</f>
        <v/>
      </c>
      <c r="J865" s="68"/>
      <c r="K865" s="69"/>
      <c r="L865" s="102"/>
      <c r="M865" s="102"/>
      <c r="N865" s="68"/>
      <c r="O865" s="68"/>
      <c r="P865" s="106"/>
      <c r="Q865" s="107"/>
      <c r="R865" s="107"/>
      <c r="S865" s="107"/>
      <c r="T865" s="107"/>
    </row>
    <row r="866" spans="2:20" x14ac:dyDescent="0.25">
      <c r="B866" s="68"/>
      <c r="C866" s="68"/>
      <c r="D866" s="68"/>
      <c r="E866" s="68"/>
      <c r="F866" s="68"/>
      <c r="G866" s="95" t="str">
        <f t="shared" si="13"/>
        <v/>
      </c>
      <c r="H866" s="91" t="str">
        <f>IF(E866&lt;&gt;"",E866/'Project Summary'!$C$9,"")</f>
        <v/>
      </c>
      <c r="I866" s="97" t="str">
        <f>IF(F866&lt;&gt;"",F866/'Project Summary'!$C$10, "")</f>
        <v/>
      </c>
      <c r="J866" s="68"/>
      <c r="K866" s="69"/>
      <c r="L866" s="102"/>
      <c r="M866" s="102"/>
      <c r="N866" s="68"/>
      <c r="O866" s="68"/>
      <c r="P866" s="106"/>
      <c r="Q866" s="107"/>
      <c r="R866" s="107"/>
      <c r="S866" s="107"/>
      <c r="T866" s="107"/>
    </row>
    <row r="867" spans="2:20" x14ac:dyDescent="0.25">
      <c r="B867" s="68"/>
      <c r="C867" s="68"/>
      <c r="D867" s="68"/>
      <c r="E867" s="68"/>
      <c r="F867" s="68"/>
      <c r="G867" s="95" t="str">
        <f t="shared" si="13"/>
        <v/>
      </c>
      <c r="H867" s="91" t="str">
        <f>IF(E867&lt;&gt;"",E867/'Project Summary'!$C$9,"")</f>
        <v/>
      </c>
      <c r="I867" s="97" t="str">
        <f>IF(F867&lt;&gt;"",F867/'Project Summary'!$C$10, "")</f>
        <v/>
      </c>
      <c r="J867" s="68"/>
      <c r="K867" s="69"/>
      <c r="L867" s="102"/>
      <c r="M867" s="102"/>
      <c r="N867" s="68"/>
      <c r="O867" s="68"/>
      <c r="P867" s="106"/>
      <c r="Q867" s="107"/>
      <c r="R867" s="107"/>
      <c r="S867" s="107"/>
      <c r="T867" s="107"/>
    </row>
    <row r="868" spans="2:20" x14ac:dyDescent="0.25">
      <c r="B868" s="68"/>
      <c r="C868" s="68"/>
      <c r="D868" s="68"/>
      <c r="E868" s="68"/>
      <c r="F868" s="68"/>
      <c r="G868" s="95" t="str">
        <f t="shared" si="13"/>
        <v/>
      </c>
      <c r="H868" s="91" t="str">
        <f>IF(E868&lt;&gt;"",E868/'Project Summary'!$C$9,"")</f>
        <v/>
      </c>
      <c r="I868" s="97" t="str">
        <f>IF(F868&lt;&gt;"",F868/'Project Summary'!$C$10, "")</f>
        <v/>
      </c>
      <c r="J868" s="68"/>
      <c r="K868" s="69"/>
      <c r="L868" s="102"/>
      <c r="M868" s="102"/>
      <c r="N868" s="68"/>
      <c r="O868" s="68"/>
      <c r="P868" s="106"/>
      <c r="Q868" s="107"/>
      <c r="R868" s="107"/>
      <c r="S868" s="107"/>
      <c r="T868" s="107"/>
    </row>
    <row r="869" spans="2:20" x14ac:dyDescent="0.25">
      <c r="B869" s="68"/>
      <c r="C869" s="68"/>
      <c r="D869" s="68"/>
      <c r="E869" s="68"/>
      <c r="F869" s="68"/>
      <c r="G869" s="95" t="str">
        <f t="shared" si="13"/>
        <v/>
      </c>
      <c r="H869" s="91" t="str">
        <f>IF(E869&lt;&gt;"",E869/'Project Summary'!$C$9,"")</f>
        <v/>
      </c>
      <c r="I869" s="97" t="str">
        <f>IF(F869&lt;&gt;"",F869/'Project Summary'!$C$10, "")</f>
        <v/>
      </c>
      <c r="J869" s="68"/>
      <c r="K869" s="69"/>
      <c r="L869" s="102"/>
      <c r="M869" s="102"/>
      <c r="N869" s="68"/>
      <c r="O869" s="68"/>
      <c r="P869" s="106"/>
      <c r="Q869" s="107"/>
      <c r="R869" s="107"/>
      <c r="S869" s="107"/>
      <c r="T869" s="107"/>
    </row>
    <row r="870" spans="2:20" x14ac:dyDescent="0.25">
      <c r="B870" s="68"/>
      <c r="C870" s="68"/>
      <c r="D870" s="68"/>
      <c r="E870" s="68"/>
      <c r="F870" s="68"/>
      <c r="G870" s="95" t="str">
        <f t="shared" si="13"/>
        <v/>
      </c>
      <c r="H870" s="91" t="str">
        <f>IF(E870&lt;&gt;"",E870/'Project Summary'!$C$9,"")</f>
        <v/>
      </c>
      <c r="I870" s="97" t="str">
        <f>IF(F870&lt;&gt;"",F870/'Project Summary'!$C$10, "")</f>
        <v/>
      </c>
      <c r="J870" s="68"/>
      <c r="K870" s="69"/>
      <c r="L870" s="102"/>
      <c r="M870" s="102"/>
      <c r="N870" s="68"/>
      <c r="O870" s="68"/>
      <c r="P870" s="106"/>
      <c r="Q870" s="107"/>
      <c r="R870" s="107"/>
      <c r="S870" s="107"/>
      <c r="T870" s="107"/>
    </row>
    <row r="871" spans="2:20" x14ac:dyDescent="0.25">
      <c r="B871" s="68"/>
      <c r="C871" s="68"/>
      <c r="D871" s="68"/>
      <c r="E871" s="68"/>
      <c r="F871" s="68"/>
      <c r="G871" s="95" t="str">
        <f t="shared" si="13"/>
        <v/>
      </c>
      <c r="H871" s="91" t="str">
        <f>IF(E871&lt;&gt;"",E871/'Project Summary'!$C$9,"")</f>
        <v/>
      </c>
      <c r="I871" s="97" t="str">
        <f>IF(F871&lt;&gt;"",F871/'Project Summary'!$C$10, "")</f>
        <v/>
      </c>
      <c r="J871" s="68"/>
      <c r="K871" s="69"/>
      <c r="L871" s="102"/>
      <c r="M871" s="102"/>
      <c r="N871" s="68"/>
      <c r="O871" s="68"/>
      <c r="P871" s="106"/>
      <c r="Q871" s="107"/>
      <c r="R871" s="107"/>
      <c r="S871" s="107"/>
      <c r="T871" s="107"/>
    </row>
    <row r="872" spans="2:20" x14ac:dyDescent="0.25">
      <c r="B872" s="68"/>
      <c r="C872" s="68"/>
      <c r="D872" s="68"/>
      <c r="E872" s="68"/>
      <c r="F872" s="68"/>
      <c r="G872" s="95" t="str">
        <f t="shared" si="13"/>
        <v/>
      </c>
      <c r="H872" s="91" t="str">
        <f>IF(E872&lt;&gt;"",E872/'Project Summary'!$C$9,"")</f>
        <v/>
      </c>
      <c r="I872" s="97" t="str">
        <f>IF(F872&lt;&gt;"",F872/'Project Summary'!$C$10, "")</f>
        <v/>
      </c>
      <c r="J872" s="68"/>
      <c r="K872" s="69"/>
      <c r="L872" s="102"/>
      <c r="M872" s="102"/>
      <c r="N872" s="68"/>
      <c r="O872" s="68"/>
      <c r="P872" s="106"/>
      <c r="Q872" s="107"/>
      <c r="R872" s="107"/>
      <c r="S872" s="107"/>
      <c r="T872" s="107"/>
    </row>
    <row r="873" spans="2:20" x14ac:dyDescent="0.25">
      <c r="B873" s="68"/>
      <c r="C873" s="68"/>
      <c r="D873" s="68"/>
      <c r="E873" s="68"/>
      <c r="F873" s="68"/>
      <c r="G873" s="95" t="str">
        <f t="shared" si="13"/>
        <v/>
      </c>
      <c r="H873" s="91" t="str">
        <f>IF(E873&lt;&gt;"",E873/'Project Summary'!$C$9,"")</f>
        <v/>
      </c>
      <c r="I873" s="97" t="str">
        <f>IF(F873&lt;&gt;"",F873/'Project Summary'!$C$10, "")</f>
        <v/>
      </c>
      <c r="J873" s="68"/>
      <c r="K873" s="69"/>
      <c r="L873" s="102"/>
      <c r="M873" s="102"/>
      <c r="N873" s="68"/>
      <c r="O873" s="68"/>
      <c r="P873" s="106"/>
      <c r="Q873" s="107"/>
      <c r="R873" s="107"/>
      <c r="S873" s="107"/>
      <c r="T873" s="107"/>
    </row>
    <row r="874" spans="2:20" x14ac:dyDescent="0.25">
      <c r="B874" s="68"/>
      <c r="C874" s="68"/>
      <c r="D874" s="68"/>
      <c r="E874" s="68"/>
      <c r="F874" s="68"/>
      <c r="G874" s="95" t="str">
        <f t="shared" si="13"/>
        <v/>
      </c>
      <c r="H874" s="91" t="str">
        <f>IF(E874&lt;&gt;"",E874/'Project Summary'!$C$9,"")</f>
        <v/>
      </c>
      <c r="I874" s="97" t="str">
        <f>IF(F874&lt;&gt;"",F874/'Project Summary'!$C$10, "")</f>
        <v/>
      </c>
      <c r="J874" s="68"/>
      <c r="K874" s="69"/>
      <c r="L874" s="102"/>
      <c r="M874" s="102"/>
      <c r="N874" s="68"/>
      <c r="O874" s="68"/>
      <c r="P874" s="106"/>
      <c r="Q874" s="107"/>
      <c r="R874" s="107"/>
      <c r="S874" s="107"/>
      <c r="T874" s="107"/>
    </row>
    <row r="875" spans="2:20" x14ac:dyDescent="0.25">
      <c r="B875" s="68"/>
      <c r="C875" s="68"/>
      <c r="D875" s="68"/>
      <c r="E875" s="68"/>
      <c r="F875" s="68"/>
      <c r="G875" s="95" t="str">
        <f t="shared" si="13"/>
        <v/>
      </c>
      <c r="H875" s="91" t="str">
        <f>IF(E875&lt;&gt;"",E875/'Project Summary'!$C$9,"")</f>
        <v/>
      </c>
      <c r="I875" s="97" t="str">
        <f>IF(F875&lt;&gt;"",F875/'Project Summary'!$C$10, "")</f>
        <v/>
      </c>
      <c r="J875" s="68"/>
      <c r="K875" s="69"/>
      <c r="L875" s="102"/>
      <c r="M875" s="102"/>
      <c r="N875" s="68"/>
      <c r="O875" s="68"/>
      <c r="P875" s="106"/>
      <c r="Q875" s="107"/>
      <c r="R875" s="107"/>
      <c r="S875" s="107"/>
      <c r="T875" s="107"/>
    </row>
    <row r="876" spans="2:20" x14ac:dyDescent="0.25">
      <c r="B876" s="68"/>
      <c r="C876" s="68"/>
      <c r="D876" s="68"/>
      <c r="E876" s="68"/>
      <c r="F876" s="68"/>
      <c r="G876" s="95" t="str">
        <f t="shared" si="13"/>
        <v/>
      </c>
      <c r="H876" s="91" t="str">
        <f>IF(E876&lt;&gt;"",E876/'Project Summary'!$C$9,"")</f>
        <v/>
      </c>
      <c r="I876" s="97" t="str">
        <f>IF(F876&lt;&gt;"",F876/'Project Summary'!$C$10, "")</f>
        <v/>
      </c>
      <c r="J876" s="68"/>
      <c r="K876" s="69"/>
      <c r="L876" s="102"/>
      <c r="M876" s="102"/>
      <c r="N876" s="68"/>
      <c r="O876" s="68"/>
      <c r="P876" s="106"/>
      <c r="Q876" s="107"/>
      <c r="R876" s="107"/>
      <c r="S876" s="107"/>
      <c r="T876" s="107"/>
    </row>
    <row r="877" spans="2:20" x14ac:dyDescent="0.25">
      <c r="B877" s="68"/>
      <c r="C877" s="68"/>
      <c r="D877" s="68"/>
      <c r="E877" s="68"/>
      <c r="F877" s="68"/>
      <c r="G877" s="95" t="str">
        <f t="shared" si="13"/>
        <v/>
      </c>
      <c r="H877" s="91" t="str">
        <f>IF(E877&lt;&gt;"",E877/'Project Summary'!$C$9,"")</f>
        <v/>
      </c>
      <c r="I877" s="97" t="str">
        <f>IF(F877&lt;&gt;"",F877/'Project Summary'!$C$10, "")</f>
        <v/>
      </c>
      <c r="J877" s="68"/>
      <c r="K877" s="69"/>
      <c r="L877" s="102"/>
      <c r="M877" s="102"/>
      <c r="N877" s="68"/>
      <c r="O877" s="68"/>
      <c r="P877" s="106"/>
      <c r="Q877" s="107"/>
      <c r="R877" s="107"/>
      <c r="S877" s="107"/>
      <c r="T877" s="107"/>
    </row>
    <row r="878" spans="2:20" x14ac:dyDescent="0.25">
      <c r="B878" s="68"/>
      <c r="C878" s="68"/>
      <c r="D878" s="68"/>
      <c r="E878" s="68"/>
      <c r="F878" s="68"/>
      <c r="G878" s="95" t="str">
        <f t="shared" si="13"/>
        <v/>
      </c>
      <c r="H878" s="91" t="str">
        <f>IF(E878&lt;&gt;"",E878/'Project Summary'!$C$9,"")</f>
        <v/>
      </c>
      <c r="I878" s="97" t="str">
        <f>IF(F878&lt;&gt;"",F878/'Project Summary'!$C$10, "")</f>
        <v/>
      </c>
      <c r="J878" s="68"/>
      <c r="K878" s="69"/>
      <c r="L878" s="102"/>
      <c r="M878" s="102"/>
      <c r="N878" s="68"/>
      <c r="O878" s="68"/>
      <c r="P878" s="106"/>
      <c r="Q878" s="107"/>
      <c r="R878" s="107"/>
      <c r="S878" s="107"/>
      <c r="T878" s="107"/>
    </row>
    <row r="879" spans="2:20" x14ac:dyDescent="0.25">
      <c r="B879" s="68"/>
      <c r="C879" s="68"/>
      <c r="D879" s="68"/>
      <c r="E879" s="68"/>
      <c r="F879" s="68"/>
      <c r="G879" s="95" t="str">
        <f t="shared" si="13"/>
        <v/>
      </c>
      <c r="H879" s="91" t="str">
        <f>IF(E879&lt;&gt;"",E879/'Project Summary'!$C$9,"")</f>
        <v/>
      </c>
      <c r="I879" s="97" t="str">
        <f>IF(F879&lt;&gt;"",F879/'Project Summary'!$C$10, "")</f>
        <v/>
      </c>
      <c r="J879" s="68"/>
      <c r="K879" s="69"/>
      <c r="L879" s="102"/>
      <c r="M879" s="102"/>
      <c r="N879" s="68"/>
      <c r="O879" s="68"/>
      <c r="P879" s="106"/>
      <c r="Q879" s="107"/>
      <c r="R879" s="107"/>
      <c r="S879" s="107"/>
      <c r="T879" s="107"/>
    </row>
    <row r="880" spans="2:20" x14ac:dyDescent="0.25">
      <c r="B880" s="68"/>
      <c r="C880" s="68"/>
      <c r="D880" s="68"/>
      <c r="E880" s="68"/>
      <c r="F880" s="68"/>
      <c r="G880" s="95" t="str">
        <f t="shared" si="13"/>
        <v/>
      </c>
      <c r="H880" s="91" t="str">
        <f>IF(E880&lt;&gt;"",E880/'Project Summary'!$C$9,"")</f>
        <v/>
      </c>
      <c r="I880" s="97" t="str">
        <f>IF(F880&lt;&gt;"",F880/'Project Summary'!$C$10, "")</f>
        <v/>
      </c>
      <c r="J880" s="68"/>
      <c r="K880" s="69"/>
      <c r="L880" s="102"/>
      <c r="M880" s="102"/>
      <c r="N880" s="68"/>
      <c r="O880" s="68"/>
      <c r="P880" s="106"/>
      <c r="Q880" s="107"/>
      <c r="R880" s="107"/>
      <c r="S880" s="107"/>
      <c r="T880" s="107"/>
    </row>
    <row r="881" spans="2:20" x14ac:dyDescent="0.25">
      <c r="B881" s="68"/>
      <c r="C881" s="68"/>
      <c r="D881" s="68"/>
      <c r="E881" s="68"/>
      <c r="F881" s="68"/>
      <c r="G881" s="95" t="str">
        <f t="shared" si="13"/>
        <v/>
      </c>
      <c r="H881" s="91" t="str">
        <f>IF(E881&lt;&gt;"",E881/'Project Summary'!$C$9,"")</f>
        <v/>
      </c>
      <c r="I881" s="97" t="str">
        <f>IF(F881&lt;&gt;"",F881/'Project Summary'!$C$10, "")</f>
        <v/>
      </c>
      <c r="J881" s="68"/>
      <c r="K881" s="69"/>
      <c r="L881" s="102"/>
      <c r="M881" s="102"/>
      <c r="N881" s="68"/>
      <c r="O881" s="68"/>
      <c r="P881" s="106"/>
      <c r="Q881" s="107"/>
      <c r="R881" s="107"/>
      <c r="S881" s="107"/>
      <c r="T881" s="107"/>
    </row>
    <row r="882" spans="2:20" x14ac:dyDescent="0.25">
      <c r="B882" s="68"/>
      <c r="C882" s="68"/>
      <c r="D882" s="68"/>
      <c r="E882" s="68"/>
      <c r="F882" s="68"/>
      <c r="G882" s="95" t="str">
        <f t="shared" si="13"/>
        <v/>
      </c>
      <c r="H882" s="91" t="str">
        <f>IF(E882&lt;&gt;"",E882/'Project Summary'!$C$9,"")</f>
        <v/>
      </c>
      <c r="I882" s="97" t="str">
        <f>IF(F882&lt;&gt;"",F882/'Project Summary'!$C$10, "")</f>
        <v/>
      </c>
      <c r="J882" s="68"/>
      <c r="K882" s="69"/>
      <c r="L882" s="102"/>
      <c r="M882" s="102"/>
      <c r="N882" s="68"/>
      <c r="O882" s="68"/>
      <c r="P882" s="106"/>
      <c r="Q882" s="107"/>
      <c r="R882" s="107"/>
      <c r="S882" s="107"/>
      <c r="T882" s="107"/>
    </row>
    <row r="883" spans="2:20" x14ac:dyDescent="0.25">
      <c r="B883" s="68"/>
      <c r="C883" s="68"/>
      <c r="D883" s="68"/>
      <c r="E883" s="68"/>
      <c r="F883" s="68"/>
      <c r="G883" s="95" t="str">
        <f t="shared" si="13"/>
        <v/>
      </c>
      <c r="H883" s="91" t="str">
        <f>IF(E883&lt;&gt;"",E883/'Project Summary'!$C$9,"")</f>
        <v/>
      </c>
      <c r="I883" s="97" t="str">
        <f>IF(F883&lt;&gt;"",F883/'Project Summary'!$C$10, "")</f>
        <v/>
      </c>
      <c r="J883" s="68"/>
      <c r="K883" s="69"/>
      <c r="L883" s="102"/>
      <c r="M883" s="102"/>
      <c r="N883" s="68"/>
      <c r="O883" s="68"/>
      <c r="P883" s="106"/>
      <c r="Q883" s="107"/>
      <c r="R883" s="107"/>
      <c r="S883" s="107"/>
      <c r="T883" s="107"/>
    </row>
    <row r="884" spans="2:20" x14ac:dyDescent="0.25">
      <c r="B884" s="68"/>
      <c r="C884" s="68"/>
      <c r="D884" s="68"/>
      <c r="E884" s="68"/>
      <c r="F884" s="68"/>
      <c r="G884" s="95" t="str">
        <f t="shared" si="13"/>
        <v/>
      </c>
      <c r="H884" s="91" t="str">
        <f>IF(E884&lt;&gt;"",E884/'Project Summary'!$C$9,"")</f>
        <v/>
      </c>
      <c r="I884" s="97" t="str">
        <f>IF(F884&lt;&gt;"",F884/'Project Summary'!$C$10, "")</f>
        <v/>
      </c>
      <c r="J884" s="68"/>
      <c r="K884" s="69"/>
      <c r="L884" s="102"/>
      <c r="M884" s="102"/>
      <c r="N884" s="68"/>
      <c r="O884" s="68"/>
      <c r="P884" s="106"/>
      <c r="Q884" s="107"/>
      <c r="R884" s="107"/>
      <c r="S884" s="107"/>
      <c r="T884" s="107"/>
    </row>
    <row r="885" spans="2:20" x14ac:dyDescent="0.25">
      <c r="B885" s="68"/>
      <c r="C885" s="68"/>
      <c r="D885" s="68"/>
      <c r="E885" s="68"/>
      <c r="F885" s="68"/>
      <c r="G885" s="95" t="str">
        <f t="shared" si="13"/>
        <v/>
      </c>
      <c r="H885" s="91" t="str">
        <f>IF(E885&lt;&gt;"",E885/'Project Summary'!$C$9,"")</f>
        <v/>
      </c>
      <c r="I885" s="97" t="str">
        <f>IF(F885&lt;&gt;"",F885/'Project Summary'!$C$10, "")</f>
        <v/>
      </c>
      <c r="J885" s="68"/>
      <c r="K885" s="69"/>
      <c r="L885" s="102"/>
      <c r="M885" s="102"/>
      <c r="N885" s="68"/>
      <c r="O885" s="68"/>
      <c r="P885" s="106"/>
      <c r="Q885" s="107"/>
      <c r="R885" s="107"/>
      <c r="S885" s="107"/>
      <c r="T885" s="107"/>
    </row>
    <row r="886" spans="2:20" x14ac:dyDescent="0.25">
      <c r="B886" s="68"/>
      <c r="C886" s="68"/>
      <c r="D886" s="68"/>
      <c r="E886" s="68"/>
      <c r="F886" s="68"/>
      <c r="G886" s="95" t="str">
        <f t="shared" si="13"/>
        <v/>
      </c>
      <c r="H886" s="91" t="str">
        <f>IF(E886&lt;&gt;"",E886/'Project Summary'!$C$9,"")</f>
        <v/>
      </c>
      <c r="I886" s="97" t="str">
        <f>IF(F886&lt;&gt;"",F886/'Project Summary'!$C$10, "")</f>
        <v/>
      </c>
      <c r="J886" s="68"/>
      <c r="K886" s="69"/>
      <c r="L886" s="102"/>
      <c r="M886" s="102"/>
      <c r="N886" s="68"/>
      <c r="O886" s="68"/>
      <c r="P886" s="106"/>
      <c r="Q886" s="107"/>
      <c r="R886" s="107"/>
      <c r="S886" s="107"/>
      <c r="T886" s="107"/>
    </row>
    <row r="887" spans="2:20" x14ac:dyDescent="0.25">
      <c r="B887" s="68"/>
      <c r="C887" s="68"/>
      <c r="D887" s="68"/>
      <c r="E887" s="68"/>
      <c r="F887" s="68"/>
      <c r="G887" s="95" t="str">
        <f t="shared" si="13"/>
        <v/>
      </c>
      <c r="H887" s="91" t="str">
        <f>IF(E887&lt;&gt;"",E887/'Project Summary'!$C$9,"")</f>
        <v/>
      </c>
      <c r="I887" s="97" t="str">
        <f>IF(F887&lt;&gt;"",F887/'Project Summary'!$C$10, "")</f>
        <v/>
      </c>
      <c r="J887" s="68"/>
      <c r="K887" s="69"/>
      <c r="L887" s="102"/>
      <c r="M887" s="102"/>
      <c r="N887" s="68"/>
      <c r="O887" s="68"/>
      <c r="P887" s="106"/>
      <c r="Q887" s="107"/>
      <c r="R887" s="107"/>
      <c r="S887" s="107"/>
      <c r="T887" s="107"/>
    </row>
    <row r="888" spans="2:20" x14ac:dyDescent="0.25">
      <c r="B888" s="68"/>
      <c r="C888" s="68"/>
      <c r="D888" s="68"/>
      <c r="E888" s="68"/>
      <c r="F888" s="68"/>
      <c r="G888" s="95" t="str">
        <f t="shared" si="13"/>
        <v/>
      </c>
      <c r="H888" s="91" t="str">
        <f>IF(E888&lt;&gt;"",E888/'Project Summary'!$C$9,"")</f>
        <v/>
      </c>
      <c r="I888" s="97" t="str">
        <f>IF(F888&lt;&gt;"",F888/'Project Summary'!$C$10, "")</f>
        <v/>
      </c>
      <c r="J888" s="68"/>
      <c r="K888" s="69"/>
      <c r="L888" s="102"/>
      <c r="M888" s="102"/>
      <c r="N888" s="68"/>
      <c r="O888" s="68"/>
      <c r="P888" s="106"/>
      <c r="Q888" s="107"/>
      <c r="R888" s="107"/>
      <c r="S888" s="107"/>
      <c r="T888" s="107"/>
    </row>
    <row r="889" spans="2:20" x14ac:dyDescent="0.25">
      <c r="B889" s="68"/>
      <c r="C889" s="68"/>
      <c r="D889" s="68"/>
      <c r="E889" s="68"/>
      <c r="F889" s="68"/>
      <c r="G889" s="95" t="str">
        <f t="shared" si="13"/>
        <v/>
      </c>
      <c r="H889" s="91" t="str">
        <f>IF(E889&lt;&gt;"",E889/'Project Summary'!$C$9,"")</f>
        <v/>
      </c>
      <c r="I889" s="97" t="str">
        <f>IF(F889&lt;&gt;"",F889/'Project Summary'!$C$10, "")</f>
        <v/>
      </c>
      <c r="J889" s="68"/>
      <c r="K889" s="69"/>
      <c r="L889" s="102"/>
      <c r="M889" s="102"/>
      <c r="N889" s="68"/>
      <c r="O889" s="68"/>
      <c r="P889" s="106"/>
      <c r="Q889" s="107"/>
      <c r="R889" s="107"/>
      <c r="S889" s="107"/>
      <c r="T889" s="107"/>
    </row>
    <row r="890" spans="2:20" x14ac:dyDescent="0.25">
      <c r="B890" s="68"/>
      <c r="C890" s="68"/>
      <c r="D890" s="68"/>
      <c r="E890" s="68"/>
      <c r="F890" s="68"/>
      <c r="G890" s="95" t="str">
        <f t="shared" si="13"/>
        <v/>
      </c>
      <c r="H890" s="91" t="str">
        <f>IF(E890&lt;&gt;"",E890/'Project Summary'!$C$9,"")</f>
        <v/>
      </c>
      <c r="I890" s="97" t="str">
        <f>IF(F890&lt;&gt;"",F890/'Project Summary'!$C$10, "")</f>
        <v/>
      </c>
      <c r="J890" s="68"/>
      <c r="K890" s="69"/>
      <c r="L890" s="102"/>
      <c r="M890" s="102"/>
      <c r="N890" s="68"/>
      <c r="O890" s="68"/>
      <c r="P890" s="106"/>
      <c r="Q890" s="107"/>
      <c r="R890" s="107"/>
      <c r="S890" s="107"/>
      <c r="T890" s="107"/>
    </row>
    <row r="891" spans="2:20" x14ac:dyDescent="0.25">
      <c r="B891" s="68"/>
      <c r="C891" s="68"/>
      <c r="D891" s="68"/>
      <c r="E891" s="68"/>
      <c r="F891" s="68"/>
      <c r="G891" s="95" t="str">
        <f t="shared" si="13"/>
        <v/>
      </c>
      <c r="H891" s="91" t="str">
        <f>IF(E891&lt;&gt;"",E891/'Project Summary'!$C$9,"")</f>
        <v/>
      </c>
      <c r="I891" s="97" t="str">
        <f>IF(F891&lt;&gt;"",F891/'Project Summary'!$C$10, "")</f>
        <v/>
      </c>
      <c r="J891" s="68"/>
      <c r="K891" s="69"/>
      <c r="L891" s="102"/>
      <c r="M891" s="102"/>
      <c r="N891" s="68"/>
      <c r="O891" s="68"/>
      <c r="P891" s="106"/>
      <c r="Q891" s="107"/>
      <c r="R891" s="107"/>
      <c r="S891" s="107"/>
      <c r="T891" s="107"/>
    </row>
    <row r="892" spans="2:20" x14ac:dyDescent="0.25">
      <c r="B892" s="68"/>
      <c r="C892" s="68"/>
      <c r="D892" s="68"/>
      <c r="E892" s="68"/>
      <c r="F892" s="68"/>
      <c r="G892" s="95" t="str">
        <f t="shared" si="13"/>
        <v/>
      </c>
      <c r="H892" s="91" t="str">
        <f>IF(E892&lt;&gt;"",E892/'Project Summary'!$C$9,"")</f>
        <v/>
      </c>
      <c r="I892" s="97" t="str">
        <f>IF(F892&lt;&gt;"",F892/'Project Summary'!$C$10, "")</f>
        <v/>
      </c>
      <c r="J892" s="68"/>
      <c r="K892" s="69"/>
      <c r="L892" s="102"/>
      <c r="M892" s="102"/>
      <c r="N892" s="68"/>
      <c r="O892" s="68"/>
      <c r="P892" s="106"/>
      <c r="Q892" s="107"/>
      <c r="R892" s="107"/>
      <c r="S892" s="107"/>
      <c r="T892" s="107"/>
    </row>
    <row r="893" spans="2:20" x14ac:dyDescent="0.25">
      <c r="B893" s="68"/>
      <c r="C893" s="68"/>
      <c r="D893" s="68"/>
      <c r="E893" s="68"/>
      <c r="F893" s="68"/>
      <c r="G893" s="95" t="str">
        <f t="shared" si="13"/>
        <v/>
      </c>
      <c r="H893" s="91" t="str">
        <f>IF(E893&lt;&gt;"",E893/'Project Summary'!$C$9,"")</f>
        <v/>
      </c>
      <c r="I893" s="97" t="str">
        <f>IF(F893&lt;&gt;"",F893/'Project Summary'!$C$10, "")</f>
        <v/>
      </c>
      <c r="J893" s="68"/>
      <c r="K893" s="69"/>
      <c r="L893" s="102"/>
      <c r="M893" s="102"/>
      <c r="N893" s="68"/>
      <c r="O893" s="68"/>
      <c r="P893" s="106"/>
      <c r="Q893" s="107"/>
      <c r="R893" s="107"/>
      <c r="S893" s="107"/>
      <c r="T893" s="107"/>
    </row>
    <row r="894" spans="2:20" x14ac:dyDescent="0.25">
      <c r="B894" s="68"/>
      <c r="C894" s="68"/>
      <c r="D894" s="68"/>
      <c r="E894" s="68"/>
      <c r="F894" s="68"/>
      <c r="G894" s="95" t="str">
        <f t="shared" si="13"/>
        <v/>
      </c>
      <c r="H894" s="91" t="str">
        <f>IF(E894&lt;&gt;"",E894/'Project Summary'!$C$9,"")</f>
        <v/>
      </c>
      <c r="I894" s="97" t="str">
        <f>IF(F894&lt;&gt;"",F894/'Project Summary'!$C$10, "")</f>
        <v/>
      </c>
      <c r="J894" s="68"/>
      <c r="K894" s="69"/>
      <c r="L894" s="102"/>
      <c r="M894" s="102"/>
      <c r="N894" s="68"/>
      <c r="O894" s="68"/>
      <c r="P894" s="106"/>
      <c r="Q894" s="107"/>
      <c r="R894" s="107"/>
      <c r="S894" s="107"/>
      <c r="T894" s="107"/>
    </row>
    <row r="895" spans="2:20" x14ac:dyDescent="0.25">
      <c r="B895" s="68"/>
      <c r="C895" s="68"/>
      <c r="D895" s="68"/>
      <c r="E895" s="68"/>
      <c r="F895" s="68"/>
      <c r="G895" s="95" t="str">
        <f t="shared" si="13"/>
        <v/>
      </c>
      <c r="H895" s="91" t="str">
        <f>IF(E895&lt;&gt;"",E895/'Project Summary'!$C$9,"")</f>
        <v/>
      </c>
      <c r="I895" s="97" t="str">
        <f>IF(F895&lt;&gt;"",F895/'Project Summary'!$C$10, "")</f>
        <v/>
      </c>
      <c r="J895" s="68"/>
      <c r="K895" s="69"/>
      <c r="L895" s="102"/>
      <c r="M895" s="102"/>
      <c r="N895" s="68"/>
      <c r="O895" s="68"/>
      <c r="P895" s="106"/>
      <c r="Q895" s="107"/>
      <c r="R895" s="107"/>
      <c r="S895" s="107"/>
      <c r="T895" s="107"/>
    </row>
    <row r="896" spans="2:20" x14ac:dyDescent="0.25">
      <c r="B896" s="68"/>
      <c r="C896" s="68"/>
      <c r="D896" s="68"/>
      <c r="E896" s="68"/>
      <c r="F896" s="68"/>
      <c r="G896" s="95" t="str">
        <f t="shared" si="13"/>
        <v/>
      </c>
      <c r="H896" s="91" t="str">
        <f>IF(E896&lt;&gt;"",E896/'Project Summary'!$C$9,"")</f>
        <v/>
      </c>
      <c r="I896" s="97" t="str">
        <f>IF(F896&lt;&gt;"",F896/'Project Summary'!$C$10, "")</f>
        <v/>
      </c>
      <c r="J896" s="68"/>
      <c r="K896" s="69"/>
      <c r="L896" s="102"/>
      <c r="M896" s="102"/>
      <c r="N896" s="68"/>
      <c r="O896" s="68"/>
      <c r="P896" s="106"/>
      <c r="Q896" s="107"/>
      <c r="R896" s="107"/>
      <c r="S896" s="107"/>
      <c r="T896" s="107"/>
    </row>
    <row r="897" spans="2:20" x14ac:dyDescent="0.25">
      <c r="B897" s="68"/>
      <c r="C897" s="68"/>
      <c r="D897" s="68"/>
      <c r="E897" s="68"/>
      <c r="F897" s="68"/>
      <c r="G897" s="95" t="str">
        <f t="shared" si="13"/>
        <v/>
      </c>
      <c r="H897" s="91" t="str">
        <f>IF(E897&lt;&gt;"",E897/'Project Summary'!$C$9,"")</f>
        <v/>
      </c>
      <c r="I897" s="97" t="str">
        <f>IF(F897&lt;&gt;"",F897/'Project Summary'!$C$10, "")</f>
        <v/>
      </c>
      <c r="J897" s="68"/>
      <c r="K897" s="69"/>
      <c r="L897" s="102"/>
      <c r="M897" s="102"/>
      <c r="N897" s="68"/>
      <c r="O897" s="68"/>
      <c r="P897" s="106"/>
      <c r="Q897" s="107"/>
      <c r="R897" s="107"/>
      <c r="S897" s="107"/>
      <c r="T897" s="107"/>
    </row>
    <row r="898" spans="2:20" x14ac:dyDescent="0.25">
      <c r="B898" s="68"/>
      <c r="C898" s="68"/>
      <c r="D898" s="68"/>
      <c r="E898" s="68"/>
      <c r="F898" s="68"/>
      <c r="G898" s="95" t="str">
        <f t="shared" si="13"/>
        <v/>
      </c>
      <c r="H898" s="91" t="str">
        <f>IF(E898&lt;&gt;"",E898/'Project Summary'!$C$9,"")</f>
        <v/>
      </c>
      <c r="I898" s="97" t="str">
        <f>IF(F898&lt;&gt;"",F898/'Project Summary'!$C$10, "")</f>
        <v/>
      </c>
      <c r="J898" s="68"/>
      <c r="K898" s="69"/>
      <c r="L898" s="102"/>
      <c r="M898" s="102"/>
      <c r="N898" s="68"/>
      <c r="O898" s="68"/>
      <c r="P898" s="106"/>
      <c r="Q898" s="107"/>
      <c r="R898" s="107"/>
      <c r="S898" s="107"/>
      <c r="T898" s="107"/>
    </row>
    <row r="899" spans="2:20" x14ac:dyDescent="0.25">
      <c r="B899" s="68"/>
      <c r="C899" s="68"/>
      <c r="D899" s="68"/>
      <c r="E899" s="68"/>
      <c r="F899" s="68"/>
      <c r="G899" s="95" t="str">
        <f t="shared" si="13"/>
        <v/>
      </c>
      <c r="H899" s="91" t="str">
        <f>IF(E899&lt;&gt;"",E899/'Project Summary'!$C$9,"")</f>
        <v/>
      </c>
      <c r="I899" s="97" t="str">
        <f>IF(F899&lt;&gt;"",F899/'Project Summary'!$C$10, "")</f>
        <v/>
      </c>
      <c r="J899" s="68"/>
      <c r="K899" s="69"/>
      <c r="L899" s="102"/>
      <c r="M899" s="102"/>
      <c r="N899" s="68"/>
      <c r="O899" s="68"/>
      <c r="P899" s="106"/>
      <c r="Q899" s="107"/>
      <c r="R899" s="107"/>
      <c r="S899" s="107"/>
      <c r="T899" s="107"/>
    </row>
    <row r="900" spans="2:20" x14ac:dyDescent="0.25">
      <c r="B900" s="68"/>
      <c r="C900" s="68"/>
      <c r="D900" s="68"/>
      <c r="E900" s="68"/>
      <c r="F900" s="68"/>
      <c r="G900" s="95" t="str">
        <f t="shared" si="13"/>
        <v/>
      </c>
      <c r="H900" s="91" t="str">
        <f>IF(E900&lt;&gt;"",E900/'Project Summary'!$C$9,"")</f>
        <v/>
      </c>
      <c r="I900" s="97" t="str">
        <f>IF(F900&lt;&gt;"",F900/'Project Summary'!$C$10, "")</f>
        <v/>
      </c>
      <c r="J900" s="68"/>
      <c r="K900" s="69"/>
      <c r="L900" s="102"/>
      <c r="M900" s="102"/>
      <c r="N900" s="68"/>
      <c r="O900" s="68"/>
      <c r="P900" s="106"/>
      <c r="Q900" s="107"/>
      <c r="R900" s="107"/>
      <c r="S900" s="107"/>
      <c r="T900" s="107"/>
    </row>
    <row r="901" spans="2:20" x14ac:dyDescent="0.25">
      <c r="B901" s="68"/>
      <c r="C901" s="68"/>
      <c r="D901" s="68"/>
      <c r="E901" s="68"/>
      <c r="F901" s="68"/>
      <c r="G901" s="95" t="str">
        <f t="shared" si="13"/>
        <v/>
      </c>
      <c r="H901" s="91" t="str">
        <f>IF(E901&lt;&gt;"",E901/'Project Summary'!$C$9,"")</f>
        <v/>
      </c>
      <c r="I901" s="97" t="str">
        <f>IF(F901&lt;&gt;"",F901/'Project Summary'!$C$10, "")</f>
        <v/>
      </c>
      <c r="J901" s="68"/>
      <c r="K901" s="69"/>
      <c r="L901" s="102"/>
      <c r="M901" s="102"/>
      <c r="N901" s="68"/>
      <c r="O901" s="68"/>
      <c r="P901" s="106"/>
      <c r="Q901" s="107"/>
      <c r="R901" s="107"/>
      <c r="S901" s="107"/>
      <c r="T901" s="107"/>
    </row>
    <row r="902" spans="2:20" x14ac:dyDescent="0.25">
      <c r="B902" s="68"/>
      <c r="C902" s="68"/>
      <c r="D902" s="68"/>
      <c r="E902" s="68"/>
      <c r="F902" s="68"/>
      <c r="G902" s="95" t="str">
        <f t="shared" si="13"/>
        <v/>
      </c>
      <c r="H902" s="91" t="str">
        <f>IF(E902&lt;&gt;"",E902/'Project Summary'!$C$9,"")</f>
        <v/>
      </c>
      <c r="I902" s="97" t="str">
        <f>IF(F902&lt;&gt;"",F902/'Project Summary'!$C$10, "")</f>
        <v/>
      </c>
      <c r="J902" s="68"/>
      <c r="K902" s="69"/>
      <c r="L902" s="102"/>
      <c r="M902" s="102"/>
      <c r="N902" s="68"/>
      <c r="O902" s="68"/>
      <c r="P902" s="106"/>
      <c r="Q902" s="107"/>
      <c r="R902" s="107"/>
      <c r="S902" s="107"/>
      <c r="T902" s="107"/>
    </row>
    <row r="903" spans="2:20" x14ac:dyDescent="0.25">
      <c r="B903" s="68"/>
      <c r="C903" s="68"/>
      <c r="D903" s="68"/>
      <c r="E903" s="68"/>
      <c r="F903" s="68"/>
      <c r="G903" s="95" t="str">
        <f t="shared" si="13"/>
        <v/>
      </c>
      <c r="H903" s="91" t="str">
        <f>IF(E903&lt;&gt;"",E903/'Project Summary'!$C$9,"")</f>
        <v/>
      </c>
      <c r="I903" s="97" t="str">
        <f>IF(F903&lt;&gt;"",F903/'Project Summary'!$C$10, "")</f>
        <v/>
      </c>
      <c r="J903" s="68"/>
      <c r="K903" s="69"/>
      <c r="L903" s="102"/>
      <c r="M903" s="102"/>
      <c r="N903" s="68"/>
      <c r="O903" s="68"/>
      <c r="P903" s="106"/>
      <c r="Q903" s="107"/>
      <c r="R903" s="107"/>
      <c r="S903" s="107"/>
      <c r="T903" s="107"/>
    </row>
    <row r="904" spans="2:20" x14ac:dyDescent="0.25">
      <c r="B904" s="68"/>
      <c r="C904" s="68"/>
      <c r="D904" s="68"/>
      <c r="E904" s="68"/>
      <c r="F904" s="68"/>
      <c r="G904" s="95" t="str">
        <f t="shared" si="13"/>
        <v/>
      </c>
      <c r="H904" s="91" t="str">
        <f>IF(E904&lt;&gt;"",E904/'Project Summary'!$C$9,"")</f>
        <v/>
      </c>
      <c r="I904" s="97" t="str">
        <f>IF(F904&lt;&gt;"",F904/'Project Summary'!$C$10, "")</f>
        <v/>
      </c>
      <c r="J904" s="68"/>
      <c r="K904" s="69"/>
      <c r="L904" s="102"/>
      <c r="M904" s="102"/>
      <c r="N904" s="68"/>
      <c r="O904" s="68"/>
      <c r="P904" s="106"/>
      <c r="Q904" s="107"/>
      <c r="R904" s="107"/>
      <c r="S904" s="107"/>
      <c r="T904" s="107"/>
    </row>
    <row r="905" spans="2:20" x14ac:dyDescent="0.25">
      <c r="B905" s="68"/>
      <c r="C905" s="68"/>
      <c r="D905" s="68"/>
      <c r="E905" s="68"/>
      <c r="F905" s="68"/>
      <c r="G905" s="95" t="str">
        <f t="shared" si="13"/>
        <v/>
      </c>
      <c r="H905" s="91" t="str">
        <f>IF(E905&lt;&gt;"",E905/'Project Summary'!$C$9,"")</f>
        <v/>
      </c>
      <c r="I905" s="97" t="str">
        <f>IF(F905&lt;&gt;"",F905/'Project Summary'!$C$10, "")</f>
        <v/>
      </c>
      <c r="J905" s="68"/>
      <c r="K905" s="69"/>
      <c r="L905" s="102"/>
      <c r="M905" s="102"/>
      <c r="N905" s="68"/>
      <c r="O905" s="68"/>
      <c r="P905" s="106"/>
      <c r="Q905" s="107"/>
      <c r="R905" s="107"/>
      <c r="S905" s="107"/>
      <c r="T905" s="107"/>
    </row>
    <row r="906" spans="2:20" x14ac:dyDescent="0.25">
      <c r="B906" s="68"/>
      <c r="C906" s="68"/>
      <c r="D906" s="68"/>
      <c r="E906" s="68"/>
      <c r="F906" s="68"/>
      <c r="G906" s="95" t="str">
        <f t="shared" si="13"/>
        <v/>
      </c>
      <c r="H906" s="91" t="str">
        <f>IF(E906&lt;&gt;"",E906/'Project Summary'!$C$9,"")</f>
        <v/>
      </c>
      <c r="I906" s="97" t="str">
        <f>IF(F906&lt;&gt;"",F906/'Project Summary'!$C$10, "")</f>
        <v/>
      </c>
      <c r="J906" s="68"/>
      <c r="K906" s="69"/>
      <c r="L906" s="102"/>
      <c r="M906" s="102"/>
      <c r="N906" s="68"/>
      <c r="O906" s="68"/>
      <c r="P906" s="106"/>
      <c r="Q906" s="107"/>
      <c r="R906" s="107"/>
      <c r="S906" s="107"/>
      <c r="T906" s="107"/>
    </row>
    <row r="907" spans="2:20" x14ac:dyDescent="0.25">
      <c r="B907" s="68"/>
      <c r="C907" s="68"/>
      <c r="D907" s="68"/>
      <c r="E907" s="68"/>
      <c r="F907" s="68"/>
      <c r="G907" s="95" t="str">
        <f t="shared" si="13"/>
        <v/>
      </c>
      <c r="H907" s="91" t="str">
        <f>IF(E907&lt;&gt;"",E907/'Project Summary'!$C$9,"")</f>
        <v/>
      </c>
      <c r="I907" s="97" t="str">
        <f>IF(F907&lt;&gt;"",F907/'Project Summary'!$C$10, "")</f>
        <v/>
      </c>
      <c r="J907" s="68"/>
      <c r="K907" s="69"/>
      <c r="L907" s="102"/>
      <c r="M907" s="102"/>
      <c r="N907" s="68"/>
      <c r="O907" s="68"/>
      <c r="P907" s="106"/>
      <c r="Q907" s="107"/>
      <c r="R907" s="107"/>
      <c r="S907" s="107"/>
      <c r="T907" s="107"/>
    </row>
    <row r="908" spans="2:20" x14ac:dyDescent="0.25">
      <c r="B908" s="68"/>
      <c r="C908" s="68"/>
      <c r="D908" s="68"/>
      <c r="E908" s="68"/>
      <c r="F908" s="68"/>
      <c r="G908" s="95" t="str">
        <f t="shared" ref="G908:G971" si="14">IF(D908&lt;&gt;"", D908/E908, "")</f>
        <v/>
      </c>
      <c r="H908" s="91" t="str">
        <f>IF(E908&lt;&gt;"",E908/'Project Summary'!$C$9,"")</f>
        <v/>
      </c>
      <c r="I908" s="97" t="str">
        <f>IF(F908&lt;&gt;"",F908/'Project Summary'!$C$10, "")</f>
        <v/>
      </c>
      <c r="J908" s="68"/>
      <c r="K908" s="69"/>
      <c r="L908" s="102"/>
      <c r="M908" s="102"/>
      <c r="N908" s="68"/>
      <c r="O908" s="68"/>
      <c r="P908" s="106"/>
      <c r="Q908" s="107"/>
      <c r="R908" s="107"/>
      <c r="S908" s="107"/>
      <c r="T908" s="107"/>
    </row>
    <row r="909" spans="2:20" x14ac:dyDescent="0.25">
      <c r="B909" s="68"/>
      <c r="C909" s="68"/>
      <c r="D909" s="68"/>
      <c r="E909" s="68"/>
      <c r="F909" s="68"/>
      <c r="G909" s="95" t="str">
        <f t="shared" si="14"/>
        <v/>
      </c>
      <c r="H909" s="91" t="str">
        <f>IF(E909&lt;&gt;"",E909/'Project Summary'!$C$9,"")</f>
        <v/>
      </c>
      <c r="I909" s="97" t="str">
        <f>IF(F909&lt;&gt;"",F909/'Project Summary'!$C$10, "")</f>
        <v/>
      </c>
      <c r="J909" s="68"/>
      <c r="K909" s="69"/>
      <c r="L909" s="102"/>
      <c r="M909" s="102"/>
      <c r="N909" s="68"/>
      <c r="O909" s="68"/>
      <c r="P909" s="106"/>
      <c r="Q909" s="107"/>
      <c r="R909" s="107"/>
      <c r="S909" s="107"/>
      <c r="T909" s="107"/>
    </row>
    <row r="910" spans="2:20" x14ac:dyDescent="0.25">
      <c r="B910" s="68"/>
      <c r="C910" s="68"/>
      <c r="D910" s="68"/>
      <c r="E910" s="68"/>
      <c r="F910" s="68"/>
      <c r="G910" s="95" t="str">
        <f t="shared" si="14"/>
        <v/>
      </c>
      <c r="H910" s="91" t="str">
        <f>IF(E910&lt;&gt;"",E910/'Project Summary'!$C$9,"")</f>
        <v/>
      </c>
      <c r="I910" s="97" t="str">
        <f>IF(F910&lt;&gt;"",F910/'Project Summary'!$C$10, "")</f>
        <v/>
      </c>
      <c r="J910" s="68"/>
      <c r="K910" s="69"/>
      <c r="L910" s="102"/>
      <c r="M910" s="102"/>
      <c r="N910" s="68"/>
      <c r="O910" s="68"/>
      <c r="P910" s="106"/>
      <c r="Q910" s="107"/>
      <c r="R910" s="107"/>
      <c r="S910" s="107"/>
      <c r="T910" s="107"/>
    </row>
    <row r="911" spans="2:20" x14ac:dyDescent="0.25">
      <c r="B911" s="68"/>
      <c r="C911" s="68"/>
      <c r="D911" s="68"/>
      <c r="E911" s="68"/>
      <c r="F911" s="68"/>
      <c r="G911" s="95" t="str">
        <f t="shared" si="14"/>
        <v/>
      </c>
      <c r="H911" s="91" t="str">
        <f>IF(E911&lt;&gt;"",E911/'Project Summary'!$C$9,"")</f>
        <v/>
      </c>
      <c r="I911" s="97" t="str">
        <f>IF(F911&lt;&gt;"",F911/'Project Summary'!$C$10, "")</f>
        <v/>
      </c>
      <c r="J911" s="68"/>
      <c r="K911" s="69"/>
      <c r="L911" s="102"/>
      <c r="M911" s="102"/>
      <c r="N911" s="68"/>
      <c r="O911" s="68"/>
      <c r="P911" s="106"/>
      <c r="Q911" s="107"/>
      <c r="R911" s="107"/>
      <c r="S911" s="107"/>
      <c r="T911" s="107"/>
    </row>
    <row r="912" spans="2:20" x14ac:dyDescent="0.25">
      <c r="B912" s="68"/>
      <c r="C912" s="68"/>
      <c r="D912" s="68"/>
      <c r="E912" s="68"/>
      <c r="F912" s="68"/>
      <c r="G912" s="95" t="str">
        <f t="shared" si="14"/>
        <v/>
      </c>
      <c r="H912" s="91" t="str">
        <f>IF(E912&lt;&gt;"",E912/'Project Summary'!$C$9,"")</f>
        <v/>
      </c>
      <c r="I912" s="97" t="str">
        <f>IF(F912&lt;&gt;"",F912/'Project Summary'!$C$10, "")</f>
        <v/>
      </c>
      <c r="J912" s="68"/>
      <c r="K912" s="69"/>
      <c r="L912" s="102"/>
      <c r="M912" s="102"/>
      <c r="N912" s="68"/>
      <c r="O912" s="68"/>
      <c r="P912" s="106"/>
      <c r="Q912" s="107"/>
      <c r="R912" s="107"/>
      <c r="S912" s="107"/>
      <c r="T912" s="107"/>
    </row>
    <row r="913" spans="2:20" x14ac:dyDescent="0.25">
      <c r="B913" s="68"/>
      <c r="C913" s="68"/>
      <c r="D913" s="68"/>
      <c r="E913" s="68"/>
      <c r="F913" s="68"/>
      <c r="G913" s="95" t="str">
        <f t="shared" si="14"/>
        <v/>
      </c>
      <c r="H913" s="91" t="str">
        <f>IF(E913&lt;&gt;"",E913/'Project Summary'!$C$9,"")</f>
        <v/>
      </c>
      <c r="I913" s="97" t="str">
        <f>IF(F913&lt;&gt;"",F913/'Project Summary'!$C$10, "")</f>
        <v/>
      </c>
      <c r="J913" s="68"/>
      <c r="K913" s="69"/>
      <c r="L913" s="102"/>
      <c r="M913" s="102"/>
      <c r="N913" s="68"/>
      <c r="O913" s="68"/>
      <c r="P913" s="106"/>
      <c r="Q913" s="107"/>
      <c r="R913" s="107"/>
      <c r="S913" s="107"/>
      <c r="T913" s="107"/>
    </row>
    <row r="914" spans="2:20" x14ac:dyDescent="0.25">
      <c r="B914" s="68"/>
      <c r="C914" s="68"/>
      <c r="D914" s="68"/>
      <c r="E914" s="68"/>
      <c r="F914" s="68"/>
      <c r="G914" s="95" t="str">
        <f t="shared" si="14"/>
        <v/>
      </c>
      <c r="H914" s="91" t="str">
        <f>IF(E914&lt;&gt;"",E914/'Project Summary'!$C$9,"")</f>
        <v/>
      </c>
      <c r="I914" s="97" t="str">
        <f>IF(F914&lt;&gt;"",F914/'Project Summary'!$C$10, "")</f>
        <v/>
      </c>
      <c r="J914" s="68"/>
      <c r="K914" s="69"/>
      <c r="L914" s="102"/>
      <c r="M914" s="102"/>
      <c r="N914" s="68"/>
      <c r="O914" s="68"/>
      <c r="P914" s="106"/>
      <c r="Q914" s="107"/>
      <c r="R914" s="107"/>
      <c r="S914" s="107"/>
      <c r="T914" s="107"/>
    </row>
    <row r="915" spans="2:20" x14ac:dyDescent="0.25">
      <c r="B915" s="68"/>
      <c r="C915" s="68"/>
      <c r="D915" s="68"/>
      <c r="E915" s="68"/>
      <c r="F915" s="68"/>
      <c r="G915" s="95" t="str">
        <f t="shared" si="14"/>
        <v/>
      </c>
      <c r="H915" s="91" t="str">
        <f>IF(E915&lt;&gt;"",E915/'Project Summary'!$C$9,"")</f>
        <v/>
      </c>
      <c r="I915" s="97" t="str">
        <f>IF(F915&lt;&gt;"",F915/'Project Summary'!$C$10, "")</f>
        <v/>
      </c>
      <c r="J915" s="68"/>
      <c r="K915" s="69"/>
      <c r="L915" s="102"/>
      <c r="M915" s="102"/>
      <c r="N915" s="68"/>
      <c r="O915" s="68"/>
      <c r="P915" s="106"/>
      <c r="Q915" s="107"/>
      <c r="R915" s="107"/>
      <c r="S915" s="107"/>
      <c r="T915" s="107"/>
    </row>
    <row r="916" spans="2:20" x14ac:dyDescent="0.25">
      <c r="B916" s="68"/>
      <c r="C916" s="68"/>
      <c r="D916" s="68"/>
      <c r="E916" s="68"/>
      <c r="F916" s="68"/>
      <c r="G916" s="95" t="str">
        <f t="shared" si="14"/>
        <v/>
      </c>
      <c r="H916" s="91" t="str">
        <f>IF(E916&lt;&gt;"",E916/'Project Summary'!$C$9,"")</f>
        <v/>
      </c>
      <c r="I916" s="97" t="str">
        <f>IF(F916&lt;&gt;"",F916/'Project Summary'!$C$10, "")</f>
        <v/>
      </c>
      <c r="J916" s="68"/>
      <c r="K916" s="69"/>
      <c r="L916" s="102"/>
      <c r="M916" s="102"/>
      <c r="N916" s="68"/>
      <c r="O916" s="68"/>
      <c r="P916" s="106"/>
      <c r="Q916" s="107"/>
      <c r="R916" s="107"/>
      <c r="S916" s="107"/>
      <c r="T916" s="107"/>
    </row>
    <row r="917" spans="2:20" x14ac:dyDescent="0.25">
      <c r="B917" s="68"/>
      <c r="C917" s="68"/>
      <c r="D917" s="68"/>
      <c r="E917" s="68"/>
      <c r="F917" s="68"/>
      <c r="G917" s="95" t="str">
        <f t="shared" si="14"/>
        <v/>
      </c>
      <c r="H917" s="91" t="str">
        <f>IF(E917&lt;&gt;"",E917/'Project Summary'!$C$9,"")</f>
        <v/>
      </c>
      <c r="I917" s="97" t="str">
        <f>IF(F917&lt;&gt;"",F917/'Project Summary'!$C$10, "")</f>
        <v/>
      </c>
      <c r="J917" s="68"/>
      <c r="K917" s="69"/>
      <c r="L917" s="102"/>
      <c r="M917" s="102"/>
      <c r="N917" s="68"/>
      <c r="O917" s="68"/>
      <c r="P917" s="106"/>
      <c r="Q917" s="107"/>
      <c r="R917" s="107"/>
      <c r="S917" s="107"/>
      <c r="T917" s="107"/>
    </row>
    <row r="918" spans="2:20" x14ac:dyDescent="0.25">
      <c r="B918" s="68"/>
      <c r="C918" s="68"/>
      <c r="D918" s="68"/>
      <c r="E918" s="68"/>
      <c r="F918" s="68"/>
      <c r="G918" s="95" t="str">
        <f t="shared" si="14"/>
        <v/>
      </c>
      <c r="H918" s="91" t="str">
        <f>IF(E918&lt;&gt;"",E918/'Project Summary'!$C$9,"")</f>
        <v/>
      </c>
      <c r="I918" s="97" t="str">
        <f>IF(F918&lt;&gt;"",F918/'Project Summary'!$C$10, "")</f>
        <v/>
      </c>
      <c r="J918" s="68"/>
      <c r="K918" s="69"/>
      <c r="L918" s="102"/>
      <c r="M918" s="102"/>
      <c r="N918" s="68"/>
      <c r="O918" s="68"/>
      <c r="P918" s="106"/>
      <c r="Q918" s="107"/>
      <c r="R918" s="107"/>
      <c r="S918" s="107"/>
      <c r="T918" s="107"/>
    </row>
    <row r="919" spans="2:20" x14ac:dyDescent="0.25">
      <c r="B919" s="68"/>
      <c r="C919" s="68"/>
      <c r="D919" s="68"/>
      <c r="E919" s="68"/>
      <c r="F919" s="68"/>
      <c r="G919" s="95" t="str">
        <f t="shared" si="14"/>
        <v/>
      </c>
      <c r="H919" s="91" t="str">
        <f>IF(E919&lt;&gt;"",E919/'Project Summary'!$C$9,"")</f>
        <v/>
      </c>
      <c r="I919" s="97" t="str">
        <f>IF(F919&lt;&gt;"",F919/'Project Summary'!$C$10, "")</f>
        <v/>
      </c>
      <c r="J919" s="68"/>
      <c r="K919" s="69"/>
      <c r="L919" s="102"/>
      <c r="M919" s="102"/>
      <c r="N919" s="68"/>
      <c r="O919" s="68"/>
      <c r="P919" s="106"/>
      <c r="Q919" s="107"/>
      <c r="R919" s="107"/>
      <c r="S919" s="107"/>
      <c r="T919" s="107"/>
    </row>
    <row r="920" spans="2:20" x14ac:dyDescent="0.25">
      <c r="B920" s="68"/>
      <c r="C920" s="68"/>
      <c r="D920" s="68"/>
      <c r="E920" s="68"/>
      <c r="F920" s="68"/>
      <c r="G920" s="95" t="str">
        <f t="shared" si="14"/>
        <v/>
      </c>
      <c r="H920" s="91" t="str">
        <f>IF(E920&lt;&gt;"",E920/'Project Summary'!$C$9,"")</f>
        <v/>
      </c>
      <c r="I920" s="97" t="str">
        <f>IF(F920&lt;&gt;"",F920/'Project Summary'!$C$10, "")</f>
        <v/>
      </c>
      <c r="J920" s="68"/>
      <c r="K920" s="69"/>
      <c r="L920" s="102"/>
      <c r="M920" s="102"/>
      <c r="N920" s="68"/>
      <c r="O920" s="68"/>
      <c r="P920" s="106"/>
      <c r="Q920" s="107"/>
      <c r="R920" s="107"/>
      <c r="S920" s="107"/>
      <c r="T920" s="107"/>
    </row>
    <row r="921" spans="2:20" x14ac:dyDescent="0.25">
      <c r="B921" s="68"/>
      <c r="C921" s="68"/>
      <c r="D921" s="68"/>
      <c r="E921" s="68"/>
      <c r="F921" s="68"/>
      <c r="G921" s="95" t="str">
        <f t="shared" si="14"/>
        <v/>
      </c>
      <c r="H921" s="91" t="str">
        <f>IF(E921&lt;&gt;"",E921/'Project Summary'!$C$9,"")</f>
        <v/>
      </c>
      <c r="I921" s="97" t="str">
        <f>IF(F921&lt;&gt;"",F921/'Project Summary'!$C$10, "")</f>
        <v/>
      </c>
      <c r="J921" s="68"/>
      <c r="K921" s="69"/>
      <c r="L921" s="102"/>
      <c r="M921" s="102"/>
      <c r="N921" s="68"/>
      <c r="O921" s="68"/>
      <c r="P921" s="106"/>
      <c r="Q921" s="107"/>
      <c r="R921" s="107"/>
      <c r="S921" s="107"/>
      <c r="T921" s="107"/>
    </row>
    <row r="922" spans="2:20" x14ac:dyDescent="0.25">
      <c r="B922" s="68"/>
      <c r="C922" s="68"/>
      <c r="D922" s="68"/>
      <c r="E922" s="68"/>
      <c r="F922" s="68"/>
      <c r="G922" s="95" t="str">
        <f t="shared" si="14"/>
        <v/>
      </c>
      <c r="H922" s="91" t="str">
        <f>IF(E922&lt;&gt;"",E922/'Project Summary'!$C$9,"")</f>
        <v/>
      </c>
      <c r="I922" s="97" t="str">
        <f>IF(F922&lt;&gt;"",F922/'Project Summary'!$C$10, "")</f>
        <v/>
      </c>
      <c r="J922" s="68"/>
      <c r="K922" s="69"/>
      <c r="L922" s="102"/>
      <c r="M922" s="102"/>
      <c r="N922" s="68"/>
      <c r="O922" s="68"/>
      <c r="P922" s="106"/>
      <c r="Q922" s="107"/>
      <c r="R922" s="107"/>
      <c r="S922" s="107"/>
      <c r="T922" s="107"/>
    </row>
    <row r="923" spans="2:20" x14ac:dyDescent="0.25">
      <c r="B923" s="68"/>
      <c r="C923" s="68"/>
      <c r="D923" s="68"/>
      <c r="E923" s="68"/>
      <c r="F923" s="68"/>
      <c r="G923" s="95" t="str">
        <f t="shared" si="14"/>
        <v/>
      </c>
      <c r="H923" s="91" t="str">
        <f>IF(E923&lt;&gt;"",E923/'Project Summary'!$C$9,"")</f>
        <v/>
      </c>
      <c r="I923" s="97" t="str">
        <f>IF(F923&lt;&gt;"",F923/'Project Summary'!$C$10, "")</f>
        <v/>
      </c>
      <c r="J923" s="68"/>
      <c r="K923" s="69"/>
      <c r="L923" s="102"/>
      <c r="M923" s="102"/>
      <c r="N923" s="68"/>
      <c r="O923" s="68"/>
      <c r="P923" s="106"/>
      <c r="Q923" s="107"/>
      <c r="R923" s="107"/>
      <c r="S923" s="107"/>
      <c r="T923" s="107"/>
    </row>
    <row r="924" spans="2:20" x14ac:dyDescent="0.25">
      <c r="B924" s="68"/>
      <c r="C924" s="68"/>
      <c r="D924" s="68"/>
      <c r="E924" s="68"/>
      <c r="F924" s="68"/>
      <c r="G924" s="95" t="str">
        <f t="shared" si="14"/>
        <v/>
      </c>
      <c r="H924" s="91" t="str">
        <f>IF(E924&lt;&gt;"",E924/'Project Summary'!$C$9,"")</f>
        <v/>
      </c>
      <c r="I924" s="97" t="str">
        <f>IF(F924&lt;&gt;"",F924/'Project Summary'!$C$10, "")</f>
        <v/>
      </c>
      <c r="J924" s="68"/>
      <c r="K924" s="69"/>
      <c r="L924" s="102"/>
      <c r="M924" s="102"/>
      <c r="N924" s="68"/>
      <c r="O924" s="68"/>
      <c r="P924" s="106"/>
      <c r="Q924" s="107"/>
      <c r="R924" s="107"/>
      <c r="S924" s="107"/>
      <c r="T924" s="107"/>
    </row>
    <row r="925" spans="2:20" x14ac:dyDescent="0.25">
      <c r="B925" s="68"/>
      <c r="C925" s="68"/>
      <c r="D925" s="68"/>
      <c r="E925" s="68"/>
      <c r="F925" s="68"/>
      <c r="G925" s="95" t="str">
        <f t="shared" si="14"/>
        <v/>
      </c>
      <c r="H925" s="91" t="str">
        <f>IF(E925&lt;&gt;"",E925/'Project Summary'!$C$9,"")</f>
        <v/>
      </c>
      <c r="I925" s="97" t="str">
        <f>IF(F925&lt;&gt;"",F925/'Project Summary'!$C$10, "")</f>
        <v/>
      </c>
      <c r="J925" s="68"/>
      <c r="K925" s="69"/>
      <c r="L925" s="102"/>
      <c r="M925" s="102"/>
      <c r="N925" s="68"/>
      <c r="O925" s="68"/>
      <c r="P925" s="106"/>
      <c r="Q925" s="107"/>
      <c r="R925" s="107"/>
      <c r="S925" s="107"/>
      <c r="T925" s="107"/>
    </row>
    <row r="926" spans="2:20" x14ac:dyDescent="0.25">
      <c r="B926" s="68"/>
      <c r="C926" s="68"/>
      <c r="D926" s="68"/>
      <c r="E926" s="68"/>
      <c r="F926" s="68"/>
      <c r="G926" s="95" t="str">
        <f t="shared" si="14"/>
        <v/>
      </c>
      <c r="H926" s="91" t="str">
        <f>IF(E926&lt;&gt;"",E926/'Project Summary'!$C$9,"")</f>
        <v/>
      </c>
      <c r="I926" s="97" t="str">
        <f>IF(F926&lt;&gt;"",F926/'Project Summary'!$C$10, "")</f>
        <v/>
      </c>
      <c r="J926" s="68"/>
      <c r="K926" s="69"/>
      <c r="L926" s="102"/>
      <c r="M926" s="102"/>
      <c r="N926" s="68"/>
      <c r="O926" s="68"/>
      <c r="P926" s="106"/>
      <c r="Q926" s="107"/>
      <c r="R926" s="107"/>
      <c r="S926" s="107"/>
      <c r="T926" s="107"/>
    </row>
    <row r="927" spans="2:20" x14ac:dyDescent="0.25">
      <c r="B927" s="68"/>
      <c r="C927" s="68"/>
      <c r="D927" s="68"/>
      <c r="E927" s="68"/>
      <c r="F927" s="68"/>
      <c r="G927" s="95" t="str">
        <f t="shared" si="14"/>
        <v/>
      </c>
      <c r="H927" s="91" t="str">
        <f>IF(E927&lt;&gt;"",E927/'Project Summary'!$C$9,"")</f>
        <v/>
      </c>
      <c r="I927" s="97" t="str">
        <f>IF(F927&lt;&gt;"",F927/'Project Summary'!$C$10, "")</f>
        <v/>
      </c>
      <c r="J927" s="68"/>
      <c r="K927" s="69"/>
      <c r="L927" s="102"/>
      <c r="M927" s="102"/>
      <c r="N927" s="68"/>
      <c r="O927" s="68"/>
      <c r="P927" s="106"/>
      <c r="Q927" s="107"/>
      <c r="R927" s="107"/>
      <c r="S927" s="107"/>
      <c r="T927" s="107"/>
    </row>
    <row r="928" spans="2:20" x14ac:dyDescent="0.25">
      <c r="B928" s="68"/>
      <c r="C928" s="68"/>
      <c r="D928" s="68"/>
      <c r="E928" s="68"/>
      <c r="F928" s="68"/>
      <c r="G928" s="95" t="str">
        <f t="shared" si="14"/>
        <v/>
      </c>
      <c r="H928" s="91" t="str">
        <f>IF(E928&lt;&gt;"",E928/'Project Summary'!$C$9,"")</f>
        <v/>
      </c>
      <c r="I928" s="97" t="str">
        <f>IF(F928&lt;&gt;"",F928/'Project Summary'!$C$10, "")</f>
        <v/>
      </c>
      <c r="J928" s="68"/>
      <c r="K928" s="69"/>
      <c r="L928" s="102"/>
      <c r="M928" s="102"/>
      <c r="N928" s="68"/>
      <c r="O928" s="68"/>
      <c r="P928" s="106"/>
      <c r="Q928" s="107"/>
      <c r="R928" s="107"/>
      <c r="S928" s="107"/>
      <c r="T928" s="107"/>
    </row>
    <row r="929" spans="2:20" x14ac:dyDescent="0.25">
      <c r="B929" s="68"/>
      <c r="C929" s="68"/>
      <c r="D929" s="68"/>
      <c r="E929" s="68"/>
      <c r="F929" s="68"/>
      <c r="G929" s="95" t="str">
        <f t="shared" si="14"/>
        <v/>
      </c>
      <c r="H929" s="91" t="str">
        <f>IF(E929&lt;&gt;"",E929/'Project Summary'!$C$9,"")</f>
        <v/>
      </c>
      <c r="I929" s="97" t="str">
        <f>IF(F929&lt;&gt;"",F929/'Project Summary'!$C$10, "")</f>
        <v/>
      </c>
      <c r="J929" s="68"/>
      <c r="K929" s="69"/>
      <c r="L929" s="102"/>
      <c r="M929" s="102"/>
      <c r="N929" s="68"/>
      <c r="O929" s="68"/>
      <c r="P929" s="106"/>
      <c r="Q929" s="107"/>
      <c r="R929" s="107"/>
      <c r="S929" s="107"/>
      <c r="T929" s="107"/>
    </row>
    <row r="930" spans="2:20" x14ac:dyDescent="0.25">
      <c r="B930" s="68"/>
      <c r="C930" s="68"/>
      <c r="D930" s="68"/>
      <c r="E930" s="68"/>
      <c r="F930" s="68"/>
      <c r="G930" s="95" t="str">
        <f t="shared" si="14"/>
        <v/>
      </c>
      <c r="H930" s="91" t="str">
        <f>IF(E930&lt;&gt;"",E930/'Project Summary'!$C$9,"")</f>
        <v/>
      </c>
      <c r="I930" s="97" t="str">
        <f>IF(F930&lt;&gt;"",F930/'Project Summary'!$C$10, "")</f>
        <v/>
      </c>
      <c r="J930" s="68"/>
      <c r="K930" s="69"/>
      <c r="L930" s="102"/>
      <c r="M930" s="102"/>
      <c r="N930" s="68"/>
      <c r="O930" s="68"/>
      <c r="P930" s="106"/>
      <c r="Q930" s="107"/>
      <c r="R930" s="107"/>
      <c r="S930" s="107"/>
      <c r="T930" s="107"/>
    </row>
    <row r="931" spans="2:20" x14ac:dyDescent="0.25">
      <c r="B931" s="68"/>
      <c r="C931" s="68"/>
      <c r="D931" s="68"/>
      <c r="E931" s="68"/>
      <c r="F931" s="68"/>
      <c r="G931" s="95" t="str">
        <f t="shared" si="14"/>
        <v/>
      </c>
      <c r="H931" s="91" t="str">
        <f>IF(E931&lt;&gt;"",E931/'Project Summary'!$C$9,"")</f>
        <v/>
      </c>
      <c r="I931" s="97" t="str">
        <f>IF(F931&lt;&gt;"",F931/'Project Summary'!$C$10, "")</f>
        <v/>
      </c>
      <c r="J931" s="68"/>
      <c r="K931" s="69"/>
      <c r="L931" s="102"/>
      <c r="M931" s="102"/>
      <c r="N931" s="68"/>
      <c r="O931" s="68"/>
      <c r="P931" s="106"/>
      <c r="Q931" s="107"/>
      <c r="R931" s="107"/>
      <c r="S931" s="107"/>
      <c r="T931" s="107"/>
    </row>
    <row r="932" spans="2:20" x14ac:dyDescent="0.25">
      <c r="B932" s="68"/>
      <c r="C932" s="68"/>
      <c r="D932" s="68"/>
      <c r="E932" s="68"/>
      <c r="F932" s="68"/>
      <c r="G932" s="95" t="str">
        <f t="shared" si="14"/>
        <v/>
      </c>
      <c r="H932" s="91" t="str">
        <f>IF(E932&lt;&gt;"",E932/'Project Summary'!$C$9,"")</f>
        <v/>
      </c>
      <c r="I932" s="97" t="str">
        <f>IF(F932&lt;&gt;"",F932/'Project Summary'!$C$10, "")</f>
        <v/>
      </c>
      <c r="J932" s="68"/>
      <c r="K932" s="69"/>
      <c r="L932" s="102"/>
      <c r="M932" s="102"/>
      <c r="N932" s="68"/>
      <c r="O932" s="68"/>
      <c r="P932" s="106"/>
      <c r="Q932" s="107"/>
      <c r="R932" s="107"/>
      <c r="S932" s="107"/>
      <c r="T932" s="107"/>
    </row>
    <row r="933" spans="2:20" x14ac:dyDescent="0.25">
      <c r="B933" s="68"/>
      <c r="C933" s="68"/>
      <c r="D933" s="68"/>
      <c r="E933" s="68"/>
      <c r="F933" s="68"/>
      <c r="G933" s="95" t="str">
        <f t="shared" si="14"/>
        <v/>
      </c>
      <c r="H933" s="91" t="str">
        <f>IF(E933&lt;&gt;"",E933/'Project Summary'!$C$9,"")</f>
        <v/>
      </c>
      <c r="I933" s="97" t="str">
        <f>IF(F933&lt;&gt;"",F933/'Project Summary'!$C$10, "")</f>
        <v/>
      </c>
      <c r="J933" s="68"/>
      <c r="K933" s="69"/>
      <c r="L933" s="102"/>
      <c r="M933" s="102"/>
      <c r="N933" s="68"/>
      <c r="O933" s="68"/>
      <c r="P933" s="106"/>
      <c r="Q933" s="107"/>
      <c r="R933" s="107"/>
      <c r="S933" s="107"/>
      <c r="T933" s="107"/>
    </row>
    <row r="934" spans="2:20" x14ac:dyDescent="0.25">
      <c r="B934" s="68"/>
      <c r="C934" s="68"/>
      <c r="D934" s="68"/>
      <c r="E934" s="68"/>
      <c r="F934" s="68"/>
      <c r="G934" s="95" t="str">
        <f t="shared" si="14"/>
        <v/>
      </c>
      <c r="H934" s="91" t="str">
        <f>IF(E934&lt;&gt;"",E934/'Project Summary'!$C$9,"")</f>
        <v/>
      </c>
      <c r="I934" s="97" t="str">
        <f>IF(F934&lt;&gt;"",F934/'Project Summary'!$C$10, "")</f>
        <v/>
      </c>
      <c r="J934" s="68"/>
      <c r="K934" s="69"/>
      <c r="L934" s="102"/>
      <c r="M934" s="102"/>
      <c r="N934" s="68"/>
      <c r="O934" s="68"/>
      <c r="P934" s="106"/>
      <c r="Q934" s="107"/>
      <c r="R934" s="107"/>
      <c r="S934" s="107"/>
      <c r="T934" s="107"/>
    </row>
    <row r="935" spans="2:20" x14ac:dyDescent="0.25">
      <c r="B935" s="68"/>
      <c r="C935" s="68"/>
      <c r="D935" s="68"/>
      <c r="E935" s="68"/>
      <c r="F935" s="68"/>
      <c r="G935" s="95" t="str">
        <f t="shared" si="14"/>
        <v/>
      </c>
      <c r="H935" s="91" t="str">
        <f>IF(E935&lt;&gt;"",E935/'Project Summary'!$C$9,"")</f>
        <v/>
      </c>
      <c r="I935" s="97" t="str">
        <f>IF(F935&lt;&gt;"",F935/'Project Summary'!$C$10, "")</f>
        <v/>
      </c>
      <c r="J935" s="68"/>
      <c r="K935" s="69"/>
      <c r="L935" s="102"/>
      <c r="M935" s="102"/>
      <c r="N935" s="68"/>
      <c r="O935" s="68"/>
      <c r="P935" s="106"/>
      <c r="Q935" s="107"/>
      <c r="R935" s="107"/>
      <c r="S935" s="107"/>
      <c r="T935" s="107"/>
    </row>
    <row r="936" spans="2:20" x14ac:dyDescent="0.25">
      <c r="B936" s="68"/>
      <c r="C936" s="68"/>
      <c r="D936" s="68"/>
      <c r="E936" s="68"/>
      <c r="F936" s="68"/>
      <c r="G936" s="95" t="str">
        <f t="shared" si="14"/>
        <v/>
      </c>
      <c r="H936" s="91" t="str">
        <f>IF(E936&lt;&gt;"",E936/'Project Summary'!$C$9,"")</f>
        <v/>
      </c>
      <c r="I936" s="97" t="str">
        <f>IF(F936&lt;&gt;"",F936/'Project Summary'!$C$10, "")</f>
        <v/>
      </c>
      <c r="J936" s="68"/>
      <c r="K936" s="69"/>
      <c r="L936" s="102"/>
      <c r="M936" s="102"/>
      <c r="N936" s="68"/>
      <c r="O936" s="68"/>
      <c r="P936" s="106"/>
      <c r="Q936" s="107"/>
      <c r="R936" s="107"/>
      <c r="S936" s="107"/>
      <c r="T936" s="107"/>
    </row>
    <row r="937" spans="2:20" x14ac:dyDescent="0.25">
      <c r="B937" s="68"/>
      <c r="C937" s="68"/>
      <c r="D937" s="68"/>
      <c r="E937" s="68"/>
      <c r="F937" s="68"/>
      <c r="G937" s="95" t="str">
        <f t="shared" si="14"/>
        <v/>
      </c>
      <c r="H937" s="91" t="str">
        <f>IF(E937&lt;&gt;"",E937/'Project Summary'!$C$9,"")</f>
        <v/>
      </c>
      <c r="I937" s="97" t="str">
        <f>IF(F937&lt;&gt;"",F937/'Project Summary'!$C$10, "")</f>
        <v/>
      </c>
      <c r="J937" s="68"/>
      <c r="K937" s="69"/>
      <c r="L937" s="102"/>
      <c r="M937" s="102"/>
      <c r="N937" s="68"/>
      <c r="O937" s="68"/>
      <c r="P937" s="106"/>
      <c r="Q937" s="107"/>
      <c r="R937" s="107"/>
      <c r="S937" s="107"/>
      <c r="T937" s="107"/>
    </row>
    <row r="938" spans="2:20" x14ac:dyDescent="0.25">
      <c r="B938" s="68"/>
      <c r="C938" s="68"/>
      <c r="D938" s="68"/>
      <c r="E938" s="68"/>
      <c r="F938" s="68"/>
      <c r="G938" s="95" t="str">
        <f t="shared" si="14"/>
        <v/>
      </c>
      <c r="H938" s="91" t="str">
        <f>IF(E938&lt;&gt;"",E938/'Project Summary'!$C$9,"")</f>
        <v/>
      </c>
      <c r="I938" s="97" t="str">
        <f>IF(F938&lt;&gt;"",F938/'Project Summary'!$C$10, "")</f>
        <v/>
      </c>
      <c r="J938" s="68"/>
      <c r="K938" s="69"/>
      <c r="L938" s="102"/>
      <c r="M938" s="102"/>
      <c r="N938" s="68"/>
      <c r="O938" s="68"/>
      <c r="P938" s="106"/>
      <c r="Q938" s="107"/>
      <c r="R938" s="107"/>
      <c r="S938" s="107"/>
      <c r="T938" s="107"/>
    </row>
    <row r="939" spans="2:20" x14ac:dyDescent="0.25">
      <c r="B939" s="68"/>
      <c r="C939" s="68"/>
      <c r="D939" s="68"/>
      <c r="E939" s="68"/>
      <c r="F939" s="68"/>
      <c r="G939" s="95" t="str">
        <f t="shared" si="14"/>
        <v/>
      </c>
      <c r="H939" s="91" t="str">
        <f>IF(E939&lt;&gt;"",E939/'Project Summary'!$C$9,"")</f>
        <v/>
      </c>
      <c r="I939" s="97" t="str">
        <f>IF(F939&lt;&gt;"",F939/'Project Summary'!$C$10, "")</f>
        <v/>
      </c>
      <c r="J939" s="68"/>
      <c r="K939" s="69"/>
      <c r="L939" s="102"/>
      <c r="M939" s="102"/>
      <c r="N939" s="68"/>
      <c r="O939" s="68"/>
      <c r="P939" s="106"/>
      <c r="Q939" s="107"/>
      <c r="R939" s="107"/>
      <c r="S939" s="107"/>
      <c r="T939" s="107"/>
    </row>
    <row r="940" spans="2:20" x14ac:dyDescent="0.25">
      <c r="B940" s="68"/>
      <c r="C940" s="68"/>
      <c r="D940" s="68"/>
      <c r="E940" s="68"/>
      <c r="F940" s="68"/>
      <c r="G940" s="95" t="str">
        <f t="shared" si="14"/>
        <v/>
      </c>
      <c r="H940" s="91" t="str">
        <f>IF(E940&lt;&gt;"",E940/'Project Summary'!$C$9,"")</f>
        <v/>
      </c>
      <c r="I940" s="97" t="str">
        <f>IF(F940&lt;&gt;"",F940/'Project Summary'!$C$10, "")</f>
        <v/>
      </c>
      <c r="J940" s="68"/>
      <c r="K940" s="69"/>
      <c r="L940" s="102"/>
      <c r="M940" s="102"/>
      <c r="N940" s="68"/>
      <c r="O940" s="68"/>
      <c r="P940" s="106"/>
      <c r="Q940" s="107"/>
      <c r="R940" s="107"/>
      <c r="S940" s="107"/>
      <c r="T940" s="107"/>
    </row>
    <row r="941" spans="2:20" x14ac:dyDescent="0.25">
      <c r="B941" s="68"/>
      <c r="C941" s="68"/>
      <c r="D941" s="68"/>
      <c r="E941" s="68"/>
      <c r="F941" s="68"/>
      <c r="G941" s="95" t="str">
        <f t="shared" si="14"/>
        <v/>
      </c>
      <c r="H941" s="91" t="str">
        <f>IF(E941&lt;&gt;"",E941/'Project Summary'!$C$9,"")</f>
        <v/>
      </c>
      <c r="I941" s="97" t="str">
        <f>IF(F941&lt;&gt;"",F941/'Project Summary'!$C$10, "")</f>
        <v/>
      </c>
      <c r="J941" s="68"/>
      <c r="K941" s="69"/>
      <c r="L941" s="102"/>
      <c r="M941" s="102"/>
      <c r="N941" s="68"/>
      <c r="O941" s="68"/>
      <c r="P941" s="106"/>
      <c r="Q941" s="107"/>
      <c r="R941" s="107"/>
      <c r="S941" s="107"/>
      <c r="T941" s="107"/>
    </row>
    <row r="942" spans="2:20" x14ac:dyDescent="0.25">
      <c r="B942" s="68"/>
      <c r="C942" s="68"/>
      <c r="D942" s="68"/>
      <c r="E942" s="68"/>
      <c r="F942" s="68"/>
      <c r="G942" s="95" t="str">
        <f t="shared" si="14"/>
        <v/>
      </c>
      <c r="H942" s="91" t="str">
        <f>IF(E942&lt;&gt;"",E942/'Project Summary'!$C$9,"")</f>
        <v/>
      </c>
      <c r="I942" s="97" t="str">
        <f>IF(F942&lt;&gt;"",F942/'Project Summary'!$C$10, "")</f>
        <v/>
      </c>
      <c r="J942" s="68"/>
      <c r="K942" s="69"/>
      <c r="L942" s="102"/>
      <c r="M942" s="102"/>
      <c r="N942" s="68"/>
      <c r="O942" s="68"/>
      <c r="P942" s="106"/>
      <c r="Q942" s="107"/>
      <c r="R942" s="107"/>
      <c r="S942" s="107"/>
      <c r="T942" s="107"/>
    </row>
    <row r="943" spans="2:20" x14ac:dyDescent="0.25">
      <c r="B943" s="68"/>
      <c r="C943" s="68"/>
      <c r="D943" s="68"/>
      <c r="E943" s="68"/>
      <c r="F943" s="68"/>
      <c r="G943" s="95" t="str">
        <f t="shared" si="14"/>
        <v/>
      </c>
      <c r="H943" s="91" t="str">
        <f>IF(E943&lt;&gt;"",E943/'Project Summary'!$C$9,"")</f>
        <v/>
      </c>
      <c r="I943" s="97" t="str">
        <f>IF(F943&lt;&gt;"",F943/'Project Summary'!$C$10, "")</f>
        <v/>
      </c>
      <c r="J943" s="68"/>
      <c r="K943" s="69"/>
      <c r="L943" s="102"/>
      <c r="M943" s="102"/>
      <c r="N943" s="68"/>
      <c r="O943" s="68"/>
      <c r="P943" s="106"/>
      <c r="Q943" s="107"/>
      <c r="R943" s="107"/>
      <c r="S943" s="107"/>
      <c r="T943" s="107"/>
    </row>
    <row r="944" spans="2:20" x14ac:dyDescent="0.25">
      <c r="B944" s="68"/>
      <c r="C944" s="68"/>
      <c r="D944" s="68"/>
      <c r="E944" s="68"/>
      <c r="F944" s="68"/>
      <c r="G944" s="95" t="str">
        <f t="shared" si="14"/>
        <v/>
      </c>
      <c r="H944" s="91" t="str">
        <f>IF(E944&lt;&gt;"",E944/'Project Summary'!$C$9,"")</f>
        <v/>
      </c>
      <c r="I944" s="97" t="str">
        <f>IF(F944&lt;&gt;"",F944/'Project Summary'!$C$10, "")</f>
        <v/>
      </c>
      <c r="J944" s="68"/>
      <c r="K944" s="69"/>
      <c r="L944" s="102"/>
      <c r="M944" s="102"/>
      <c r="N944" s="68"/>
      <c r="O944" s="68"/>
      <c r="P944" s="106"/>
      <c r="Q944" s="107"/>
      <c r="R944" s="107"/>
      <c r="S944" s="107"/>
      <c r="T944" s="107"/>
    </row>
    <row r="945" spans="2:20" x14ac:dyDescent="0.25">
      <c r="B945" s="68"/>
      <c r="C945" s="68"/>
      <c r="D945" s="68"/>
      <c r="E945" s="68"/>
      <c r="F945" s="68"/>
      <c r="G945" s="95" t="str">
        <f t="shared" si="14"/>
        <v/>
      </c>
      <c r="H945" s="91" t="str">
        <f>IF(E945&lt;&gt;"",E945/'Project Summary'!$C$9,"")</f>
        <v/>
      </c>
      <c r="I945" s="97" t="str">
        <f>IF(F945&lt;&gt;"",F945/'Project Summary'!$C$10, "")</f>
        <v/>
      </c>
      <c r="J945" s="68"/>
      <c r="K945" s="69"/>
      <c r="L945" s="102"/>
      <c r="M945" s="102"/>
      <c r="N945" s="68"/>
      <c r="O945" s="68"/>
      <c r="P945" s="106"/>
      <c r="Q945" s="107"/>
      <c r="R945" s="107"/>
      <c r="S945" s="107"/>
      <c r="T945" s="107"/>
    </row>
    <row r="946" spans="2:20" x14ac:dyDescent="0.25">
      <c r="B946" s="68"/>
      <c r="C946" s="68"/>
      <c r="D946" s="68"/>
      <c r="E946" s="68"/>
      <c r="F946" s="68"/>
      <c r="G946" s="95" t="str">
        <f t="shared" si="14"/>
        <v/>
      </c>
      <c r="H946" s="91" t="str">
        <f>IF(E946&lt;&gt;"",E946/'Project Summary'!$C$9,"")</f>
        <v/>
      </c>
      <c r="I946" s="97" t="str">
        <f>IF(F946&lt;&gt;"",F946/'Project Summary'!$C$10, "")</f>
        <v/>
      </c>
      <c r="J946" s="68"/>
      <c r="K946" s="69"/>
      <c r="L946" s="102"/>
      <c r="M946" s="102"/>
      <c r="N946" s="68"/>
      <c r="O946" s="68"/>
      <c r="P946" s="106"/>
      <c r="Q946" s="107"/>
      <c r="R946" s="107"/>
      <c r="S946" s="107"/>
      <c r="T946" s="107"/>
    </row>
    <row r="947" spans="2:20" x14ac:dyDescent="0.25">
      <c r="B947" s="68"/>
      <c r="C947" s="68"/>
      <c r="D947" s="68"/>
      <c r="E947" s="68"/>
      <c r="F947" s="68"/>
      <c r="G947" s="95" t="str">
        <f t="shared" si="14"/>
        <v/>
      </c>
      <c r="H947" s="91" t="str">
        <f>IF(E947&lt;&gt;"",E947/'Project Summary'!$C$9,"")</f>
        <v/>
      </c>
      <c r="I947" s="97" t="str">
        <f>IF(F947&lt;&gt;"",F947/'Project Summary'!$C$10, "")</f>
        <v/>
      </c>
      <c r="J947" s="68"/>
      <c r="K947" s="69"/>
      <c r="L947" s="102"/>
      <c r="M947" s="102"/>
      <c r="N947" s="68"/>
      <c r="O947" s="68"/>
      <c r="P947" s="106"/>
      <c r="Q947" s="107"/>
      <c r="R947" s="107"/>
      <c r="S947" s="107"/>
      <c r="T947" s="107"/>
    </row>
    <row r="948" spans="2:20" x14ac:dyDescent="0.25">
      <c r="B948" s="68"/>
      <c r="C948" s="68"/>
      <c r="D948" s="68"/>
      <c r="E948" s="68"/>
      <c r="F948" s="68"/>
      <c r="G948" s="95" t="str">
        <f t="shared" si="14"/>
        <v/>
      </c>
      <c r="H948" s="91" t="str">
        <f>IF(E948&lt;&gt;"",E948/'Project Summary'!$C$9,"")</f>
        <v/>
      </c>
      <c r="I948" s="97" t="str">
        <f>IF(F948&lt;&gt;"",F948/'Project Summary'!$C$10, "")</f>
        <v/>
      </c>
      <c r="J948" s="68"/>
      <c r="K948" s="69"/>
      <c r="L948" s="102"/>
      <c r="M948" s="102"/>
      <c r="N948" s="68"/>
      <c r="O948" s="68"/>
      <c r="P948" s="106"/>
      <c r="Q948" s="107"/>
      <c r="R948" s="107"/>
      <c r="S948" s="107"/>
      <c r="T948" s="107"/>
    </row>
    <row r="949" spans="2:20" x14ac:dyDescent="0.25">
      <c r="B949" s="68"/>
      <c r="C949" s="68"/>
      <c r="D949" s="68"/>
      <c r="E949" s="68"/>
      <c r="F949" s="68"/>
      <c r="G949" s="95" t="str">
        <f t="shared" si="14"/>
        <v/>
      </c>
      <c r="H949" s="91" t="str">
        <f>IF(E949&lt;&gt;"",E949/'Project Summary'!$C$9,"")</f>
        <v/>
      </c>
      <c r="I949" s="97" t="str">
        <f>IF(F949&lt;&gt;"",F949/'Project Summary'!$C$10, "")</f>
        <v/>
      </c>
      <c r="J949" s="68"/>
      <c r="K949" s="69"/>
      <c r="L949" s="102"/>
      <c r="M949" s="102"/>
      <c r="N949" s="68"/>
      <c r="O949" s="68"/>
      <c r="P949" s="106"/>
      <c r="Q949" s="107"/>
      <c r="R949" s="107"/>
      <c r="S949" s="107"/>
      <c r="T949" s="107"/>
    </row>
    <row r="950" spans="2:20" x14ac:dyDescent="0.25">
      <c r="B950" s="68"/>
      <c r="C950" s="68"/>
      <c r="D950" s="68"/>
      <c r="E950" s="68"/>
      <c r="F950" s="68"/>
      <c r="G950" s="95" t="str">
        <f t="shared" si="14"/>
        <v/>
      </c>
      <c r="H950" s="91" t="str">
        <f>IF(E950&lt;&gt;"",E950/'Project Summary'!$C$9,"")</f>
        <v/>
      </c>
      <c r="I950" s="97" t="str">
        <f>IF(F950&lt;&gt;"",F950/'Project Summary'!$C$10, "")</f>
        <v/>
      </c>
      <c r="J950" s="68"/>
      <c r="K950" s="69"/>
      <c r="L950" s="102"/>
      <c r="M950" s="102"/>
      <c r="N950" s="68"/>
      <c r="O950" s="68"/>
      <c r="P950" s="106"/>
      <c r="Q950" s="107"/>
      <c r="R950" s="107"/>
      <c r="S950" s="107"/>
      <c r="T950" s="107"/>
    </row>
    <row r="951" spans="2:20" x14ac:dyDescent="0.25">
      <c r="B951" s="68"/>
      <c r="C951" s="68"/>
      <c r="D951" s="68"/>
      <c r="E951" s="68"/>
      <c r="F951" s="68"/>
      <c r="G951" s="95" t="str">
        <f t="shared" si="14"/>
        <v/>
      </c>
      <c r="H951" s="91" t="str">
        <f>IF(E951&lt;&gt;"",E951/'Project Summary'!$C$9,"")</f>
        <v/>
      </c>
      <c r="I951" s="97" t="str">
        <f>IF(F951&lt;&gt;"",F951/'Project Summary'!$C$10, "")</f>
        <v/>
      </c>
      <c r="J951" s="68"/>
      <c r="K951" s="69"/>
      <c r="L951" s="102"/>
      <c r="M951" s="102"/>
      <c r="N951" s="68"/>
      <c r="O951" s="68"/>
      <c r="P951" s="106"/>
      <c r="Q951" s="107"/>
      <c r="R951" s="107"/>
      <c r="S951" s="107"/>
      <c r="T951" s="107"/>
    </row>
    <row r="952" spans="2:20" x14ac:dyDescent="0.25">
      <c r="B952" s="68"/>
      <c r="C952" s="68"/>
      <c r="D952" s="68"/>
      <c r="E952" s="68"/>
      <c r="F952" s="68"/>
      <c r="G952" s="95" t="str">
        <f t="shared" si="14"/>
        <v/>
      </c>
      <c r="H952" s="91" t="str">
        <f>IF(E952&lt;&gt;"",E952/'Project Summary'!$C$9,"")</f>
        <v/>
      </c>
      <c r="I952" s="97" t="str">
        <f>IF(F952&lt;&gt;"",F952/'Project Summary'!$C$10, "")</f>
        <v/>
      </c>
      <c r="J952" s="68"/>
      <c r="K952" s="69"/>
      <c r="L952" s="102"/>
      <c r="M952" s="102"/>
      <c r="N952" s="68"/>
      <c r="O952" s="68"/>
      <c r="P952" s="106"/>
      <c r="Q952" s="107"/>
      <c r="R952" s="107"/>
      <c r="S952" s="107"/>
      <c r="T952" s="107"/>
    </row>
    <row r="953" spans="2:20" x14ac:dyDescent="0.25">
      <c r="B953" s="68"/>
      <c r="C953" s="68"/>
      <c r="D953" s="68"/>
      <c r="E953" s="68"/>
      <c r="F953" s="68"/>
      <c r="G953" s="95" t="str">
        <f t="shared" si="14"/>
        <v/>
      </c>
      <c r="H953" s="91" t="str">
        <f>IF(E953&lt;&gt;"",E953/'Project Summary'!$C$9,"")</f>
        <v/>
      </c>
      <c r="I953" s="97" t="str">
        <f>IF(F953&lt;&gt;"",F953/'Project Summary'!$C$10, "")</f>
        <v/>
      </c>
      <c r="J953" s="68"/>
      <c r="K953" s="69"/>
      <c r="L953" s="102"/>
      <c r="M953" s="102"/>
      <c r="N953" s="68"/>
      <c r="O953" s="68"/>
      <c r="P953" s="106"/>
      <c r="Q953" s="107"/>
      <c r="R953" s="107"/>
      <c r="S953" s="107"/>
      <c r="T953" s="107"/>
    </row>
    <row r="954" spans="2:20" x14ac:dyDescent="0.25">
      <c r="B954" s="68"/>
      <c r="C954" s="68"/>
      <c r="D954" s="68"/>
      <c r="E954" s="68"/>
      <c r="F954" s="68"/>
      <c r="G954" s="95" t="str">
        <f t="shared" si="14"/>
        <v/>
      </c>
      <c r="H954" s="91" t="str">
        <f>IF(E954&lt;&gt;"",E954/'Project Summary'!$C$9,"")</f>
        <v/>
      </c>
      <c r="I954" s="97" t="str">
        <f>IF(F954&lt;&gt;"",F954/'Project Summary'!$C$10, "")</f>
        <v/>
      </c>
      <c r="J954" s="68"/>
      <c r="K954" s="69"/>
      <c r="L954" s="102"/>
      <c r="M954" s="102"/>
      <c r="N954" s="68"/>
      <c r="O954" s="68"/>
      <c r="P954" s="106"/>
      <c r="Q954" s="107"/>
      <c r="R954" s="107"/>
      <c r="S954" s="107"/>
      <c r="T954" s="107"/>
    </row>
    <row r="955" spans="2:20" x14ac:dyDescent="0.25">
      <c r="B955" s="68"/>
      <c r="C955" s="68"/>
      <c r="D955" s="68"/>
      <c r="E955" s="68"/>
      <c r="F955" s="68"/>
      <c r="G955" s="95" t="str">
        <f t="shared" si="14"/>
        <v/>
      </c>
      <c r="H955" s="91" t="str">
        <f>IF(E955&lt;&gt;"",E955/'Project Summary'!$C$9,"")</f>
        <v/>
      </c>
      <c r="I955" s="97" t="str">
        <f>IF(F955&lt;&gt;"",F955/'Project Summary'!$C$10, "")</f>
        <v/>
      </c>
      <c r="J955" s="68"/>
      <c r="K955" s="69"/>
      <c r="L955" s="102"/>
      <c r="M955" s="102"/>
      <c r="N955" s="68"/>
      <c r="O955" s="68"/>
      <c r="P955" s="106"/>
      <c r="Q955" s="107"/>
      <c r="R955" s="107"/>
      <c r="S955" s="107"/>
      <c r="T955" s="107"/>
    </row>
    <row r="956" spans="2:20" x14ac:dyDescent="0.25">
      <c r="B956" s="68"/>
      <c r="C956" s="68"/>
      <c r="D956" s="68"/>
      <c r="E956" s="68"/>
      <c r="F956" s="68"/>
      <c r="G956" s="95" t="str">
        <f t="shared" si="14"/>
        <v/>
      </c>
      <c r="H956" s="91" t="str">
        <f>IF(E956&lt;&gt;"",E956/'Project Summary'!$C$9,"")</f>
        <v/>
      </c>
      <c r="I956" s="97" t="str">
        <f>IF(F956&lt;&gt;"",F956/'Project Summary'!$C$10, "")</f>
        <v/>
      </c>
      <c r="J956" s="68"/>
      <c r="K956" s="69"/>
      <c r="L956" s="102"/>
      <c r="M956" s="102"/>
      <c r="N956" s="68"/>
      <c r="O956" s="68"/>
      <c r="P956" s="106"/>
      <c r="Q956" s="107"/>
      <c r="R956" s="107"/>
      <c r="S956" s="107"/>
      <c r="T956" s="107"/>
    </row>
    <row r="957" spans="2:20" x14ac:dyDescent="0.25">
      <c r="B957" s="68"/>
      <c r="C957" s="68"/>
      <c r="D957" s="68"/>
      <c r="E957" s="68"/>
      <c r="F957" s="68"/>
      <c r="G957" s="95" t="str">
        <f t="shared" si="14"/>
        <v/>
      </c>
      <c r="H957" s="91" t="str">
        <f>IF(E957&lt;&gt;"",E957/'Project Summary'!$C$9,"")</f>
        <v/>
      </c>
      <c r="I957" s="97" t="str">
        <f>IF(F957&lt;&gt;"",F957/'Project Summary'!$C$10, "")</f>
        <v/>
      </c>
      <c r="J957" s="68"/>
      <c r="K957" s="69"/>
      <c r="L957" s="102"/>
      <c r="M957" s="102"/>
      <c r="N957" s="68"/>
      <c r="O957" s="68"/>
      <c r="P957" s="106"/>
      <c r="Q957" s="107"/>
      <c r="R957" s="107"/>
      <c r="S957" s="107"/>
      <c r="T957" s="107"/>
    </row>
    <row r="958" spans="2:20" x14ac:dyDescent="0.25">
      <c r="B958" s="68"/>
      <c r="C958" s="68"/>
      <c r="D958" s="68"/>
      <c r="E958" s="68"/>
      <c r="F958" s="68"/>
      <c r="G958" s="95" t="str">
        <f t="shared" si="14"/>
        <v/>
      </c>
      <c r="H958" s="91" t="str">
        <f>IF(E958&lt;&gt;"",E958/'Project Summary'!$C$9,"")</f>
        <v/>
      </c>
      <c r="I958" s="97" t="str">
        <f>IF(F958&lt;&gt;"",F958/'Project Summary'!$C$10, "")</f>
        <v/>
      </c>
      <c r="J958" s="68"/>
      <c r="K958" s="69"/>
      <c r="L958" s="102"/>
      <c r="M958" s="102"/>
      <c r="N958" s="68"/>
      <c r="O958" s="68"/>
      <c r="P958" s="106"/>
      <c r="Q958" s="107"/>
      <c r="R958" s="107"/>
      <c r="S958" s="107"/>
      <c r="T958" s="107"/>
    </row>
    <row r="959" spans="2:20" x14ac:dyDescent="0.25">
      <c r="B959" s="68"/>
      <c r="C959" s="68"/>
      <c r="D959" s="68"/>
      <c r="E959" s="68"/>
      <c r="F959" s="68"/>
      <c r="G959" s="95" t="str">
        <f t="shared" si="14"/>
        <v/>
      </c>
      <c r="H959" s="91" t="str">
        <f>IF(E959&lt;&gt;"",E959/'Project Summary'!$C$9,"")</f>
        <v/>
      </c>
      <c r="I959" s="97" t="str">
        <f>IF(F959&lt;&gt;"",F959/'Project Summary'!$C$10, "")</f>
        <v/>
      </c>
      <c r="J959" s="68"/>
      <c r="K959" s="69"/>
      <c r="L959" s="102"/>
      <c r="M959" s="102"/>
      <c r="N959" s="68"/>
      <c r="O959" s="68"/>
      <c r="P959" s="106"/>
      <c r="Q959" s="107"/>
      <c r="R959" s="107"/>
      <c r="S959" s="107"/>
      <c r="T959" s="107"/>
    </row>
    <row r="960" spans="2:20" x14ac:dyDescent="0.25">
      <c r="B960" s="68"/>
      <c r="C960" s="68"/>
      <c r="D960" s="68"/>
      <c r="E960" s="68"/>
      <c r="F960" s="68"/>
      <c r="G960" s="95" t="str">
        <f t="shared" si="14"/>
        <v/>
      </c>
      <c r="H960" s="91" t="str">
        <f>IF(E960&lt;&gt;"",E960/'Project Summary'!$C$9,"")</f>
        <v/>
      </c>
      <c r="I960" s="97" t="str">
        <f>IF(F960&lt;&gt;"",F960/'Project Summary'!$C$10, "")</f>
        <v/>
      </c>
      <c r="J960" s="68"/>
      <c r="K960" s="69"/>
      <c r="L960" s="102"/>
      <c r="M960" s="102"/>
      <c r="N960" s="68"/>
      <c r="O960" s="68"/>
      <c r="P960" s="106"/>
      <c r="Q960" s="107"/>
      <c r="R960" s="107"/>
      <c r="S960" s="107"/>
      <c r="T960" s="107"/>
    </row>
    <row r="961" spans="2:20" x14ac:dyDescent="0.25">
      <c r="B961" s="68"/>
      <c r="C961" s="68"/>
      <c r="D961" s="68"/>
      <c r="E961" s="68"/>
      <c r="F961" s="68"/>
      <c r="G961" s="95" t="str">
        <f t="shared" si="14"/>
        <v/>
      </c>
      <c r="H961" s="91" t="str">
        <f>IF(E961&lt;&gt;"",E961/'Project Summary'!$C$9,"")</f>
        <v/>
      </c>
      <c r="I961" s="97" t="str">
        <f>IF(F961&lt;&gt;"",F961/'Project Summary'!$C$10, "")</f>
        <v/>
      </c>
      <c r="J961" s="68"/>
      <c r="K961" s="69"/>
      <c r="L961" s="102"/>
      <c r="M961" s="102"/>
      <c r="N961" s="68"/>
      <c r="O961" s="68"/>
      <c r="P961" s="106"/>
      <c r="Q961" s="107"/>
      <c r="R961" s="107"/>
      <c r="S961" s="107"/>
      <c r="T961" s="107"/>
    </row>
    <row r="962" spans="2:20" x14ac:dyDescent="0.25">
      <c r="B962" s="68"/>
      <c r="C962" s="68"/>
      <c r="D962" s="68"/>
      <c r="E962" s="68"/>
      <c r="F962" s="68"/>
      <c r="G962" s="95" t="str">
        <f t="shared" si="14"/>
        <v/>
      </c>
      <c r="H962" s="91" t="str">
        <f>IF(E962&lt;&gt;"",E962/'Project Summary'!$C$9,"")</f>
        <v/>
      </c>
      <c r="I962" s="97" t="str">
        <f>IF(F962&lt;&gt;"",F962/'Project Summary'!$C$10, "")</f>
        <v/>
      </c>
      <c r="J962" s="68"/>
      <c r="K962" s="69"/>
      <c r="L962" s="102"/>
      <c r="M962" s="102"/>
      <c r="N962" s="68"/>
      <c r="O962" s="68"/>
      <c r="P962" s="106"/>
      <c r="Q962" s="107"/>
      <c r="R962" s="107"/>
      <c r="S962" s="107"/>
      <c r="T962" s="107"/>
    </row>
    <row r="963" spans="2:20" x14ac:dyDescent="0.25">
      <c r="B963" s="68"/>
      <c r="C963" s="68"/>
      <c r="D963" s="68"/>
      <c r="E963" s="68"/>
      <c r="F963" s="68"/>
      <c r="G963" s="95" t="str">
        <f t="shared" si="14"/>
        <v/>
      </c>
      <c r="H963" s="91" t="str">
        <f>IF(E963&lt;&gt;"",E963/'Project Summary'!$C$9,"")</f>
        <v/>
      </c>
      <c r="I963" s="97" t="str">
        <f>IF(F963&lt;&gt;"",F963/'Project Summary'!$C$10, "")</f>
        <v/>
      </c>
      <c r="J963" s="68"/>
      <c r="K963" s="69"/>
      <c r="L963" s="102"/>
      <c r="M963" s="102"/>
      <c r="N963" s="68"/>
      <c r="O963" s="68"/>
      <c r="P963" s="106"/>
      <c r="Q963" s="107"/>
      <c r="R963" s="107"/>
      <c r="S963" s="107"/>
      <c r="T963" s="107"/>
    </row>
    <row r="964" spans="2:20" x14ac:dyDescent="0.25">
      <c r="B964" s="68"/>
      <c r="C964" s="68"/>
      <c r="D964" s="68"/>
      <c r="E964" s="68"/>
      <c r="F964" s="68"/>
      <c r="G964" s="95" t="str">
        <f t="shared" si="14"/>
        <v/>
      </c>
      <c r="H964" s="91" t="str">
        <f>IF(E964&lt;&gt;"",E964/'Project Summary'!$C$9,"")</f>
        <v/>
      </c>
      <c r="I964" s="97" t="str">
        <f>IF(F964&lt;&gt;"",F964/'Project Summary'!$C$10, "")</f>
        <v/>
      </c>
      <c r="J964" s="68"/>
      <c r="K964" s="69"/>
      <c r="L964" s="102"/>
      <c r="M964" s="102"/>
      <c r="N964" s="68"/>
      <c r="O964" s="68"/>
      <c r="P964" s="106"/>
      <c r="Q964" s="107"/>
      <c r="R964" s="107"/>
      <c r="S964" s="107"/>
      <c r="T964" s="107"/>
    </row>
    <row r="965" spans="2:20" x14ac:dyDescent="0.25">
      <c r="B965" s="68"/>
      <c r="C965" s="68"/>
      <c r="D965" s="68"/>
      <c r="E965" s="68"/>
      <c r="F965" s="68"/>
      <c r="G965" s="95" t="str">
        <f t="shared" si="14"/>
        <v/>
      </c>
      <c r="H965" s="91" t="str">
        <f>IF(E965&lt;&gt;"",E965/'Project Summary'!$C$9,"")</f>
        <v/>
      </c>
      <c r="I965" s="97" t="str">
        <f>IF(F965&lt;&gt;"",F965/'Project Summary'!$C$10, "")</f>
        <v/>
      </c>
      <c r="J965" s="68"/>
      <c r="K965" s="69"/>
      <c r="L965" s="102"/>
      <c r="M965" s="102"/>
      <c r="N965" s="68"/>
      <c r="O965" s="68"/>
      <c r="P965" s="106"/>
      <c r="Q965" s="107"/>
      <c r="R965" s="107"/>
      <c r="S965" s="107"/>
      <c r="T965" s="107"/>
    </row>
    <row r="966" spans="2:20" x14ac:dyDescent="0.25">
      <c r="B966" s="68"/>
      <c r="C966" s="68"/>
      <c r="D966" s="68"/>
      <c r="E966" s="68"/>
      <c r="F966" s="68"/>
      <c r="G966" s="95" t="str">
        <f t="shared" si="14"/>
        <v/>
      </c>
      <c r="H966" s="91" t="str">
        <f>IF(E966&lt;&gt;"",E966/'Project Summary'!$C$9,"")</f>
        <v/>
      </c>
      <c r="I966" s="97" t="str">
        <f>IF(F966&lt;&gt;"",F966/'Project Summary'!$C$10, "")</f>
        <v/>
      </c>
      <c r="J966" s="68"/>
      <c r="K966" s="69"/>
      <c r="L966" s="102"/>
      <c r="M966" s="102"/>
      <c r="N966" s="68"/>
      <c r="O966" s="68"/>
      <c r="P966" s="106"/>
      <c r="Q966" s="107"/>
      <c r="R966" s="107"/>
      <c r="S966" s="107"/>
      <c r="T966" s="107"/>
    </row>
    <row r="967" spans="2:20" x14ac:dyDescent="0.25">
      <c r="B967" s="68"/>
      <c r="C967" s="68"/>
      <c r="D967" s="68"/>
      <c r="E967" s="68"/>
      <c r="F967" s="68"/>
      <c r="G967" s="95" t="str">
        <f t="shared" si="14"/>
        <v/>
      </c>
      <c r="H967" s="91" t="str">
        <f>IF(E967&lt;&gt;"",E967/'Project Summary'!$C$9,"")</f>
        <v/>
      </c>
      <c r="I967" s="97" t="str">
        <f>IF(F967&lt;&gt;"",F967/'Project Summary'!$C$10, "")</f>
        <v/>
      </c>
      <c r="J967" s="68"/>
      <c r="K967" s="69"/>
      <c r="L967" s="102"/>
      <c r="M967" s="102"/>
      <c r="N967" s="68"/>
      <c r="O967" s="68"/>
      <c r="P967" s="106"/>
      <c r="Q967" s="107"/>
      <c r="R967" s="107"/>
      <c r="S967" s="107"/>
      <c r="T967" s="107"/>
    </row>
    <row r="968" spans="2:20" x14ac:dyDescent="0.25">
      <c r="B968" s="68"/>
      <c r="C968" s="68"/>
      <c r="D968" s="68"/>
      <c r="E968" s="68"/>
      <c r="F968" s="68"/>
      <c r="G968" s="95" t="str">
        <f t="shared" si="14"/>
        <v/>
      </c>
      <c r="H968" s="91" t="str">
        <f>IF(E968&lt;&gt;"",E968/'Project Summary'!$C$9,"")</f>
        <v/>
      </c>
      <c r="I968" s="97" t="str">
        <f>IF(F968&lt;&gt;"",F968/'Project Summary'!$C$10, "")</f>
        <v/>
      </c>
      <c r="J968" s="68"/>
      <c r="K968" s="69"/>
      <c r="L968" s="102"/>
      <c r="M968" s="102"/>
      <c r="N968" s="68"/>
      <c r="O968" s="68"/>
      <c r="P968" s="106"/>
      <c r="Q968" s="107"/>
      <c r="R968" s="107"/>
      <c r="S968" s="107"/>
      <c r="T968" s="107"/>
    </row>
    <row r="969" spans="2:20" x14ac:dyDescent="0.25">
      <c r="B969" s="68"/>
      <c r="C969" s="68"/>
      <c r="D969" s="68"/>
      <c r="E969" s="68"/>
      <c r="F969" s="68"/>
      <c r="G969" s="95" t="str">
        <f t="shared" si="14"/>
        <v/>
      </c>
      <c r="H969" s="91" t="str">
        <f>IF(E969&lt;&gt;"",E969/'Project Summary'!$C$9,"")</f>
        <v/>
      </c>
      <c r="I969" s="97" t="str">
        <f>IF(F969&lt;&gt;"",F969/'Project Summary'!$C$10, "")</f>
        <v/>
      </c>
      <c r="J969" s="68"/>
      <c r="K969" s="69"/>
      <c r="L969" s="102"/>
      <c r="M969" s="102"/>
      <c r="N969" s="68"/>
      <c r="O969" s="68"/>
      <c r="P969" s="106"/>
      <c r="Q969" s="107"/>
      <c r="R969" s="107"/>
      <c r="S969" s="107"/>
      <c r="T969" s="107"/>
    </row>
    <row r="970" spans="2:20" x14ac:dyDescent="0.25">
      <c r="B970" s="68"/>
      <c r="C970" s="68"/>
      <c r="D970" s="68"/>
      <c r="E970" s="68"/>
      <c r="F970" s="68"/>
      <c r="G970" s="95" t="str">
        <f t="shared" si="14"/>
        <v/>
      </c>
      <c r="H970" s="91" t="str">
        <f>IF(E970&lt;&gt;"",E970/'Project Summary'!$C$9,"")</f>
        <v/>
      </c>
      <c r="I970" s="97" t="str">
        <f>IF(F970&lt;&gt;"",F970/'Project Summary'!$C$10, "")</f>
        <v/>
      </c>
      <c r="J970" s="68"/>
      <c r="K970" s="69"/>
      <c r="L970" s="102"/>
      <c r="M970" s="102"/>
      <c r="N970" s="68"/>
      <c r="O970" s="68"/>
      <c r="P970" s="106"/>
      <c r="Q970" s="107"/>
      <c r="R970" s="107"/>
      <c r="S970" s="107"/>
      <c r="T970" s="107"/>
    </row>
    <row r="971" spans="2:20" x14ac:dyDescent="0.25">
      <c r="B971" s="68"/>
      <c r="C971" s="68"/>
      <c r="D971" s="68"/>
      <c r="E971" s="68"/>
      <c r="F971" s="68"/>
      <c r="G971" s="95" t="str">
        <f t="shared" si="14"/>
        <v/>
      </c>
      <c r="H971" s="91" t="str">
        <f>IF(E971&lt;&gt;"",E971/'Project Summary'!$C$9,"")</f>
        <v/>
      </c>
      <c r="I971" s="97" t="str">
        <f>IF(F971&lt;&gt;"",F971/'Project Summary'!$C$10, "")</f>
        <v/>
      </c>
      <c r="J971" s="68"/>
      <c r="K971" s="69"/>
      <c r="L971" s="102"/>
      <c r="M971" s="102"/>
      <c r="N971" s="68"/>
      <c r="O971" s="68"/>
      <c r="P971" s="106"/>
      <c r="Q971" s="107"/>
      <c r="R971" s="107"/>
      <c r="S971" s="107"/>
      <c r="T971" s="107"/>
    </row>
    <row r="972" spans="2:20" x14ac:dyDescent="0.25">
      <c r="B972" s="68"/>
      <c r="C972" s="68"/>
      <c r="D972" s="68"/>
      <c r="E972" s="68"/>
      <c r="F972" s="68"/>
      <c r="G972" s="95" t="str">
        <f t="shared" ref="G972:G1035" si="15">IF(D972&lt;&gt;"", D972/E972, "")</f>
        <v/>
      </c>
      <c r="H972" s="91" t="str">
        <f>IF(E972&lt;&gt;"",E972/'Project Summary'!$C$9,"")</f>
        <v/>
      </c>
      <c r="I972" s="97" t="str">
        <f>IF(F972&lt;&gt;"",F972/'Project Summary'!$C$10, "")</f>
        <v/>
      </c>
      <c r="J972" s="68"/>
      <c r="K972" s="69"/>
      <c r="L972" s="102"/>
      <c r="M972" s="102"/>
      <c r="N972" s="68"/>
      <c r="O972" s="68"/>
      <c r="P972" s="106"/>
      <c r="Q972" s="107"/>
      <c r="R972" s="107"/>
      <c r="S972" s="107"/>
      <c r="T972" s="107"/>
    </row>
    <row r="973" spans="2:20" x14ac:dyDescent="0.25">
      <c r="B973" s="68"/>
      <c r="C973" s="68"/>
      <c r="D973" s="68"/>
      <c r="E973" s="68"/>
      <c r="F973" s="68"/>
      <c r="G973" s="95" t="str">
        <f t="shared" si="15"/>
        <v/>
      </c>
      <c r="H973" s="91" t="str">
        <f>IF(E973&lt;&gt;"",E973/'Project Summary'!$C$9,"")</f>
        <v/>
      </c>
      <c r="I973" s="97" t="str">
        <f>IF(F973&lt;&gt;"",F973/'Project Summary'!$C$10, "")</f>
        <v/>
      </c>
      <c r="J973" s="68"/>
      <c r="K973" s="69"/>
      <c r="L973" s="102"/>
      <c r="M973" s="102"/>
      <c r="N973" s="68"/>
      <c r="O973" s="68"/>
      <c r="P973" s="106"/>
      <c r="Q973" s="107"/>
      <c r="R973" s="107"/>
      <c r="S973" s="107"/>
      <c r="T973" s="107"/>
    </row>
    <row r="974" spans="2:20" x14ac:dyDescent="0.25">
      <c r="B974" s="68"/>
      <c r="C974" s="68"/>
      <c r="D974" s="68"/>
      <c r="E974" s="68"/>
      <c r="F974" s="68"/>
      <c r="G974" s="95" t="str">
        <f t="shared" si="15"/>
        <v/>
      </c>
      <c r="H974" s="91" t="str">
        <f>IF(E974&lt;&gt;"",E974/'Project Summary'!$C$9,"")</f>
        <v/>
      </c>
      <c r="I974" s="97" t="str">
        <f>IF(F974&lt;&gt;"",F974/'Project Summary'!$C$10, "")</f>
        <v/>
      </c>
      <c r="J974" s="68"/>
      <c r="K974" s="69"/>
      <c r="L974" s="102"/>
      <c r="M974" s="102"/>
      <c r="N974" s="68"/>
      <c r="O974" s="68"/>
      <c r="P974" s="106"/>
      <c r="Q974" s="107"/>
      <c r="R974" s="107"/>
      <c r="S974" s="107"/>
      <c r="T974" s="107"/>
    </row>
    <row r="975" spans="2:20" x14ac:dyDescent="0.25">
      <c r="B975" s="68"/>
      <c r="C975" s="68"/>
      <c r="D975" s="68"/>
      <c r="E975" s="68"/>
      <c r="F975" s="68"/>
      <c r="G975" s="95" t="str">
        <f t="shared" si="15"/>
        <v/>
      </c>
      <c r="H975" s="91" t="str">
        <f>IF(E975&lt;&gt;"",E975/'Project Summary'!$C$9,"")</f>
        <v/>
      </c>
      <c r="I975" s="97" t="str">
        <f>IF(F975&lt;&gt;"",F975/'Project Summary'!$C$10, "")</f>
        <v/>
      </c>
      <c r="J975" s="68"/>
      <c r="K975" s="69"/>
      <c r="L975" s="102"/>
      <c r="M975" s="102"/>
      <c r="N975" s="68"/>
      <c r="O975" s="68"/>
      <c r="P975" s="106"/>
      <c r="Q975" s="107"/>
      <c r="R975" s="107"/>
      <c r="S975" s="107"/>
      <c r="T975" s="107"/>
    </row>
    <row r="976" spans="2:20" x14ac:dyDescent="0.25">
      <c r="B976" s="68"/>
      <c r="C976" s="68"/>
      <c r="D976" s="68"/>
      <c r="E976" s="68"/>
      <c r="F976" s="68"/>
      <c r="G976" s="95" t="str">
        <f t="shared" si="15"/>
        <v/>
      </c>
      <c r="H976" s="91" t="str">
        <f>IF(E976&lt;&gt;"",E976/'Project Summary'!$C$9,"")</f>
        <v/>
      </c>
      <c r="I976" s="97" t="str">
        <f>IF(F976&lt;&gt;"",F976/'Project Summary'!$C$10, "")</f>
        <v/>
      </c>
      <c r="J976" s="68"/>
      <c r="K976" s="69"/>
      <c r="L976" s="102"/>
      <c r="M976" s="102"/>
      <c r="N976" s="68"/>
      <c r="O976" s="68"/>
      <c r="P976" s="106"/>
      <c r="Q976" s="107"/>
      <c r="R976" s="107"/>
      <c r="S976" s="107"/>
      <c r="T976" s="107"/>
    </row>
    <row r="977" spans="2:20" x14ac:dyDescent="0.25">
      <c r="B977" s="68"/>
      <c r="C977" s="68"/>
      <c r="D977" s="68"/>
      <c r="E977" s="68"/>
      <c r="F977" s="68"/>
      <c r="G977" s="95" t="str">
        <f t="shared" si="15"/>
        <v/>
      </c>
      <c r="H977" s="91" t="str">
        <f>IF(E977&lt;&gt;"",E977/'Project Summary'!$C$9,"")</f>
        <v/>
      </c>
      <c r="I977" s="97" t="str">
        <f>IF(F977&lt;&gt;"",F977/'Project Summary'!$C$10, "")</f>
        <v/>
      </c>
      <c r="J977" s="68"/>
      <c r="K977" s="69"/>
      <c r="L977" s="102"/>
      <c r="M977" s="102"/>
      <c r="N977" s="68"/>
      <c r="O977" s="68"/>
      <c r="P977" s="106"/>
      <c r="Q977" s="107"/>
      <c r="R977" s="107"/>
      <c r="S977" s="107"/>
      <c r="T977" s="107"/>
    </row>
    <row r="978" spans="2:20" x14ac:dyDescent="0.25">
      <c r="B978" s="68"/>
      <c r="C978" s="68"/>
      <c r="D978" s="68"/>
      <c r="E978" s="68"/>
      <c r="F978" s="68"/>
      <c r="G978" s="95" t="str">
        <f t="shared" si="15"/>
        <v/>
      </c>
      <c r="H978" s="91" t="str">
        <f>IF(E978&lt;&gt;"",E978/'Project Summary'!$C$9,"")</f>
        <v/>
      </c>
      <c r="I978" s="97" t="str">
        <f>IF(F978&lt;&gt;"",F978/'Project Summary'!$C$10, "")</f>
        <v/>
      </c>
      <c r="J978" s="68"/>
      <c r="K978" s="69"/>
      <c r="L978" s="102"/>
      <c r="M978" s="102"/>
      <c r="N978" s="68"/>
      <c r="O978" s="68"/>
      <c r="P978" s="106"/>
      <c r="Q978" s="107"/>
      <c r="R978" s="107"/>
      <c r="S978" s="107"/>
      <c r="T978" s="107"/>
    </row>
    <row r="979" spans="2:20" x14ac:dyDescent="0.25">
      <c r="B979" s="68"/>
      <c r="C979" s="68"/>
      <c r="D979" s="68"/>
      <c r="E979" s="68"/>
      <c r="F979" s="68"/>
      <c r="G979" s="95" t="str">
        <f t="shared" si="15"/>
        <v/>
      </c>
      <c r="H979" s="91" t="str">
        <f>IF(E979&lt;&gt;"",E979/'Project Summary'!$C$9,"")</f>
        <v/>
      </c>
      <c r="I979" s="97" t="str">
        <f>IF(F979&lt;&gt;"",F979/'Project Summary'!$C$10, "")</f>
        <v/>
      </c>
      <c r="J979" s="68"/>
      <c r="K979" s="69"/>
      <c r="L979" s="102"/>
      <c r="M979" s="102"/>
      <c r="N979" s="68"/>
      <c r="O979" s="68"/>
      <c r="P979" s="106"/>
      <c r="Q979" s="107"/>
      <c r="R979" s="107"/>
      <c r="S979" s="107"/>
      <c r="T979" s="107"/>
    </row>
    <row r="980" spans="2:20" x14ac:dyDescent="0.25">
      <c r="B980" s="68"/>
      <c r="C980" s="68"/>
      <c r="D980" s="68"/>
      <c r="E980" s="68"/>
      <c r="F980" s="68"/>
      <c r="G980" s="95" t="str">
        <f t="shared" si="15"/>
        <v/>
      </c>
      <c r="H980" s="91" t="str">
        <f>IF(E980&lt;&gt;"",E980/'Project Summary'!$C$9,"")</f>
        <v/>
      </c>
      <c r="I980" s="97" t="str">
        <f>IF(F980&lt;&gt;"",F980/'Project Summary'!$C$10, "")</f>
        <v/>
      </c>
      <c r="J980" s="68"/>
      <c r="K980" s="69"/>
      <c r="L980" s="102"/>
      <c r="M980" s="102"/>
      <c r="N980" s="68"/>
      <c r="O980" s="68"/>
      <c r="P980" s="106"/>
      <c r="Q980" s="107"/>
      <c r="R980" s="107"/>
      <c r="S980" s="107"/>
      <c r="T980" s="107"/>
    </row>
    <row r="981" spans="2:20" x14ac:dyDescent="0.25">
      <c r="B981" s="68"/>
      <c r="C981" s="68"/>
      <c r="D981" s="68"/>
      <c r="E981" s="68"/>
      <c r="F981" s="68"/>
      <c r="G981" s="95" t="str">
        <f t="shared" si="15"/>
        <v/>
      </c>
      <c r="H981" s="91" t="str">
        <f>IF(E981&lt;&gt;"",E981/'Project Summary'!$C$9,"")</f>
        <v/>
      </c>
      <c r="I981" s="97" t="str">
        <f>IF(F981&lt;&gt;"",F981/'Project Summary'!$C$10, "")</f>
        <v/>
      </c>
      <c r="J981" s="68"/>
      <c r="K981" s="69"/>
      <c r="L981" s="102"/>
      <c r="M981" s="102"/>
      <c r="N981" s="68"/>
      <c r="O981" s="68"/>
      <c r="P981" s="106"/>
      <c r="Q981" s="107"/>
      <c r="R981" s="107"/>
      <c r="S981" s="107"/>
      <c r="T981" s="107"/>
    </row>
    <row r="982" spans="2:20" x14ac:dyDescent="0.25">
      <c r="B982" s="68"/>
      <c r="C982" s="68"/>
      <c r="D982" s="68"/>
      <c r="E982" s="68"/>
      <c r="F982" s="68"/>
      <c r="G982" s="95" t="str">
        <f t="shared" si="15"/>
        <v/>
      </c>
      <c r="H982" s="91" t="str">
        <f>IF(E982&lt;&gt;"",E982/'Project Summary'!$C$9,"")</f>
        <v/>
      </c>
      <c r="I982" s="97" t="str">
        <f>IF(F982&lt;&gt;"",F982/'Project Summary'!$C$10, "")</f>
        <v/>
      </c>
      <c r="J982" s="68"/>
      <c r="K982" s="69"/>
      <c r="L982" s="102"/>
      <c r="M982" s="102"/>
      <c r="N982" s="68"/>
      <c r="O982" s="68"/>
      <c r="P982" s="106"/>
      <c r="Q982" s="107"/>
      <c r="R982" s="107"/>
      <c r="S982" s="107"/>
      <c r="T982" s="107"/>
    </row>
    <row r="983" spans="2:20" x14ac:dyDescent="0.25">
      <c r="B983" s="68"/>
      <c r="C983" s="68"/>
      <c r="D983" s="68"/>
      <c r="E983" s="68"/>
      <c r="F983" s="68"/>
      <c r="G983" s="95" t="str">
        <f t="shared" si="15"/>
        <v/>
      </c>
      <c r="H983" s="91" t="str">
        <f>IF(E983&lt;&gt;"",E983/'Project Summary'!$C$9,"")</f>
        <v/>
      </c>
      <c r="I983" s="97" t="str">
        <f>IF(F983&lt;&gt;"",F983/'Project Summary'!$C$10, "")</f>
        <v/>
      </c>
      <c r="J983" s="68"/>
      <c r="K983" s="69"/>
      <c r="L983" s="102"/>
      <c r="M983" s="102"/>
      <c r="N983" s="68"/>
      <c r="O983" s="68"/>
      <c r="P983" s="106"/>
      <c r="Q983" s="107"/>
      <c r="R983" s="107"/>
      <c r="S983" s="107"/>
      <c r="T983" s="107"/>
    </row>
    <row r="984" spans="2:20" x14ac:dyDescent="0.25">
      <c r="B984" s="68"/>
      <c r="C984" s="68"/>
      <c r="D984" s="68"/>
      <c r="E984" s="68"/>
      <c r="F984" s="68"/>
      <c r="G984" s="95" t="str">
        <f t="shared" si="15"/>
        <v/>
      </c>
      <c r="H984" s="91" t="str">
        <f>IF(E984&lt;&gt;"",E984/'Project Summary'!$C$9,"")</f>
        <v/>
      </c>
      <c r="I984" s="97" t="str">
        <f>IF(F984&lt;&gt;"",F984/'Project Summary'!$C$10, "")</f>
        <v/>
      </c>
      <c r="J984" s="68"/>
      <c r="K984" s="69"/>
      <c r="L984" s="102"/>
      <c r="M984" s="102"/>
      <c r="N984" s="68"/>
      <c r="O984" s="68"/>
      <c r="P984" s="106"/>
      <c r="Q984" s="107"/>
      <c r="R984" s="107"/>
      <c r="S984" s="107"/>
      <c r="T984" s="107"/>
    </row>
    <row r="985" spans="2:20" x14ac:dyDescent="0.25">
      <c r="B985" s="68"/>
      <c r="C985" s="68"/>
      <c r="D985" s="68"/>
      <c r="E985" s="68"/>
      <c r="F985" s="68"/>
      <c r="G985" s="95" t="str">
        <f t="shared" si="15"/>
        <v/>
      </c>
      <c r="H985" s="91" t="str">
        <f>IF(E985&lt;&gt;"",E985/'Project Summary'!$C$9,"")</f>
        <v/>
      </c>
      <c r="I985" s="97" t="str">
        <f>IF(F985&lt;&gt;"",F985/'Project Summary'!$C$10, "")</f>
        <v/>
      </c>
      <c r="J985" s="68"/>
      <c r="K985" s="69"/>
      <c r="L985" s="102"/>
      <c r="M985" s="102"/>
      <c r="N985" s="68"/>
      <c r="O985" s="68"/>
      <c r="P985" s="106"/>
      <c r="Q985" s="107"/>
      <c r="R985" s="107"/>
      <c r="S985" s="107"/>
      <c r="T985" s="107"/>
    </row>
    <row r="986" spans="2:20" x14ac:dyDescent="0.25">
      <c r="B986" s="68"/>
      <c r="C986" s="68"/>
      <c r="D986" s="68"/>
      <c r="E986" s="68"/>
      <c r="F986" s="68"/>
      <c r="G986" s="95" t="str">
        <f t="shared" si="15"/>
        <v/>
      </c>
      <c r="H986" s="91" t="str">
        <f>IF(E986&lt;&gt;"",E986/'Project Summary'!$C$9,"")</f>
        <v/>
      </c>
      <c r="I986" s="97" t="str">
        <f>IF(F986&lt;&gt;"",F986/'Project Summary'!$C$10, "")</f>
        <v/>
      </c>
      <c r="J986" s="68"/>
      <c r="K986" s="69"/>
      <c r="L986" s="102"/>
      <c r="M986" s="102"/>
      <c r="N986" s="68"/>
      <c r="O986" s="68"/>
      <c r="P986" s="106"/>
      <c r="Q986" s="107"/>
      <c r="R986" s="107"/>
      <c r="S986" s="107"/>
      <c r="T986" s="107"/>
    </row>
    <row r="987" spans="2:20" x14ac:dyDescent="0.25">
      <c r="B987" s="68"/>
      <c r="C987" s="68"/>
      <c r="D987" s="68"/>
      <c r="E987" s="68"/>
      <c r="F987" s="68"/>
      <c r="G987" s="95" t="str">
        <f t="shared" si="15"/>
        <v/>
      </c>
      <c r="H987" s="91" t="str">
        <f>IF(E987&lt;&gt;"",E987/'Project Summary'!$C$9,"")</f>
        <v/>
      </c>
      <c r="I987" s="97" t="str">
        <f>IF(F987&lt;&gt;"",F987/'Project Summary'!$C$10, "")</f>
        <v/>
      </c>
      <c r="J987" s="68"/>
      <c r="K987" s="69"/>
      <c r="L987" s="102"/>
      <c r="M987" s="102"/>
      <c r="N987" s="68"/>
      <c r="O987" s="68"/>
      <c r="P987" s="106"/>
      <c r="Q987" s="107"/>
      <c r="R987" s="107"/>
      <c r="S987" s="107"/>
      <c r="T987" s="107"/>
    </row>
    <row r="988" spans="2:20" x14ac:dyDescent="0.25">
      <c r="B988" s="68"/>
      <c r="C988" s="68"/>
      <c r="D988" s="68"/>
      <c r="E988" s="68"/>
      <c r="F988" s="68"/>
      <c r="G988" s="95" t="str">
        <f t="shared" si="15"/>
        <v/>
      </c>
      <c r="H988" s="91" t="str">
        <f>IF(E988&lt;&gt;"",E988/'Project Summary'!$C$9,"")</f>
        <v/>
      </c>
      <c r="I988" s="97" t="str">
        <f>IF(F988&lt;&gt;"",F988/'Project Summary'!$C$10, "")</f>
        <v/>
      </c>
      <c r="J988" s="68"/>
      <c r="K988" s="69"/>
      <c r="L988" s="102"/>
      <c r="M988" s="102"/>
      <c r="N988" s="68"/>
      <c r="O988" s="68"/>
      <c r="P988" s="106"/>
      <c r="Q988" s="107"/>
      <c r="R988" s="107"/>
      <c r="S988" s="107"/>
      <c r="T988" s="107"/>
    </row>
    <row r="989" spans="2:20" x14ac:dyDescent="0.25">
      <c r="B989" s="68"/>
      <c r="C989" s="68"/>
      <c r="D989" s="68"/>
      <c r="E989" s="68"/>
      <c r="F989" s="68"/>
      <c r="G989" s="95" t="str">
        <f t="shared" si="15"/>
        <v/>
      </c>
      <c r="H989" s="91" t="str">
        <f>IF(E989&lt;&gt;"",E989/'Project Summary'!$C$9,"")</f>
        <v/>
      </c>
      <c r="I989" s="97" t="str">
        <f>IF(F989&lt;&gt;"",F989/'Project Summary'!$C$10, "")</f>
        <v/>
      </c>
      <c r="J989" s="68"/>
      <c r="K989" s="69"/>
      <c r="L989" s="102"/>
      <c r="M989" s="102"/>
      <c r="N989" s="68"/>
      <c r="O989" s="68"/>
      <c r="P989" s="106"/>
      <c r="Q989" s="107"/>
      <c r="R989" s="107"/>
      <c r="S989" s="107"/>
      <c r="T989" s="107"/>
    </row>
    <row r="990" spans="2:20" x14ac:dyDescent="0.25">
      <c r="B990" s="68"/>
      <c r="C990" s="68"/>
      <c r="D990" s="68"/>
      <c r="E990" s="68"/>
      <c r="F990" s="68"/>
      <c r="G990" s="95" t="str">
        <f t="shared" si="15"/>
        <v/>
      </c>
      <c r="H990" s="91" t="str">
        <f>IF(E990&lt;&gt;"",E990/'Project Summary'!$C$9,"")</f>
        <v/>
      </c>
      <c r="I990" s="97" t="str">
        <f>IF(F990&lt;&gt;"",F990/'Project Summary'!$C$10, "")</f>
        <v/>
      </c>
      <c r="J990" s="68"/>
      <c r="K990" s="69"/>
      <c r="L990" s="102"/>
      <c r="M990" s="102"/>
      <c r="N990" s="68"/>
      <c r="O990" s="68"/>
      <c r="P990" s="106"/>
      <c r="Q990" s="107"/>
      <c r="R990" s="107"/>
      <c r="S990" s="107"/>
      <c r="T990" s="107"/>
    </row>
    <row r="991" spans="2:20" x14ac:dyDescent="0.25">
      <c r="B991" s="68"/>
      <c r="C991" s="68"/>
      <c r="D991" s="68"/>
      <c r="E991" s="68"/>
      <c r="F991" s="68"/>
      <c r="G991" s="95" t="str">
        <f t="shared" si="15"/>
        <v/>
      </c>
      <c r="H991" s="91" t="str">
        <f>IF(E991&lt;&gt;"",E991/'Project Summary'!$C$9,"")</f>
        <v/>
      </c>
      <c r="I991" s="97" t="str">
        <f>IF(F991&lt;&gt;"",F991/'Project Summary'!$C$10, "")</f>
        <v/>
      </c>
      <c r="J991" s="68"/>
      <c r="K991" s="69"/>
      <c r="L991" s="102"/>
      <c r="M991" s="102"/>
      <c r="N991" s="68"/>
      <c r="O991" s="68"/>
      <c r="P991" s="106"/>
      <c r="Q991" s="107"/>
      <c r="R991" s="107"/>
      <c r="S991" s="107"/>
      <c r="T991" s="107"/>
    </row>
    <row r="992" spans="2:20" x14ac:dyDescent="0.25">
      <c r="B992" s="68"/>
      <c r="C992" s="68"/>
      <c r="D992" s="68"/>
      <c r="E992" s="68"/>
      <c r="F992" s="68"/>
      <c r="G992" s="95" t="str">
        <f t="shared" si="15"/>
        <v/>
      </c>
      <c r="H992" s="91" t="str">
        <f>IF(E992&lt;&gt;"",E992/'Project Summary'!$C$9,"")</f>
        <v/>
      </c>
      <c r="I992" s="97" t="str">
        <f>IF(F992&lt;&gt;"",F992/'Project Summary'!$C$10, "")</f>
        <v/>
      </c>
      <c r="J992" s="68"/>
      <c r="K992" s="69"/>
      <c r="L992" s="102"/>
      <c r="M992" s="102"/>
      <c r="N992" s="68"/>
      <c r="O992" s="68"/>
      <c r="P992" s="106"/>
      <c r="Q992" s="107"/>
      <c r="R992" s="107"/>
      <c r="S992" s="107"/>
      <c r="T992" s="107"/>
    </row>
    <row r="993" spans="2:20" x14ac:dyDescent="0.25">
      <c r="B993" s="68"/>
      <c r="C993" s="68"/>
      <c r="D993" s="68"/>
      <c r="E993" s="68"/>
      <c r="F993" s="68"/>
      <c r="G993" s="95" t="str">
        <f t="shared" si="15"/>
        <v/>
      </c>
      <c r="H993" s="91" t="str">
        <f>IF(E993&lt;&gt;"",E993/'Project Summary'!$C$9,"")</f>
        <v/>
      </c>
      <c r="I993" s="97" t="str">
        <f>IF(F993&lt;&gt;"",F993/'Project Summary'!$C$10, "")</f>
        <v/>
      </c>
      <c r="J993" s="68"/>
      <c r="K993" s="69"/>
      <c r="L993" s="102"/>
      <c r="M993" s="102"/>
      <c r="N993" s="68"/>
      <c r="O993" s="68"/>
      <c r="P993" s="106"/>
      <c r="Q993" s="107"/>
      <c r="R993" s="107"/>
      <c r="S993" s="107"/>
      <c r="T993" s="107"/>
    </row>
    <row r="994" spans="2:20" x14ac:dyDescent="0.25">
      <c r="B994" s="68"/>
      <c r="C994" s="68"/>
      <c r="D994" s="68"/>
      <c r="E994" s="68"/>
      <c r="F994" s="68"/>
      <c r="G994" s="95" t="str">
        <f t="shared" si="15"/>
        <v/>
      </c>
      <c r="H994" s="91" t="str">
        <f>IF(E994&lt;&gt;"",E994/'Project Summary'!$C$9,"")</f>
        <v/>
      </c>
      <c r="I994" s="97" t="str">
        <f>IF(F994&lt;&gt;"",F994/'Project Summary'!$C$10, "")</f>
        <v/>
      </c>
      <c r="J994" s="68"/>
      <c r="K994" s="69"/>
      <c r="L994" s="102"/>
      <c r="M994" s="102"/>
      <c r="N994" s="68"/>
      <c r="O994" s="68"/>
      <c r="P994" s="106"/>
      <c r="Q994" s="107"/>
      <c r="R994" s="107"/>
      <c r="S994" s="107"/>
      <c r="T994" s="107"/>
    </row>
    <row r="995" spans="2:20" x14ac:dyDescent="0.25">
      <c r="B995" s="68"/>
      <c r="C995" s="68"/>
      <c r="D995" s="68"/>
      <c r="E995" s="68"/>
      <c r="F995" s="68"/>
      <c r="G995" s="95" t="str">
        <f t="shared" si="15"/>
        <v/>
      </c>
      <c r="H995" s="91" t="str">
        <f>IF(E995&lt;&gt;"",E995/'Project Summary'!$C$9,"")</f>
        <v/>
      </c>
      <c r="I995" s="97" t="str">
        <f>IF(F995&lt;&gt;"",F995/'Project Summary'!$C$10, "")</f>
        <v/>
      </c>
      <c r="J995" s="68"/>
      <c r="K995" s="69"/>
      <c r="L995" s="102"/>
      <c r="M995" s="102"/>
      <c r="N995" s="68"/>
      <c r="O995" s="68"/>
      <c r="P995" s="106"/>
      <c r="Q995" s="107"/>
      <c r="R995" s="107"/>
      <c r="S995" s="107"/>
      <c r="T995" s="107"/>
    </row>
    <row r="996" spans="2:20" x14ac:dyDescent="0.25">
      <c r="B996" s="68"/>
      <c r="C996" s="68"/>
      <c r="D996" s="68"/>
      <c r="E996" s="68"/>
      <c r="F996" s="68"/>
      <c r="G996" s="95" t="str">
        <f t="shared" si="15"/>
        <v/>
      </c>
      <c r="H996" s="91" t="str">
        <f>IF(E996&lt;&gt;"",E996/'Project Summary'!$C$9,"")</f>
        <v/>
      </c>
      <c r="I996" s="97" t="str">
        <f>IF(F996&lt;&gt;"",F996/'Project Summary'!$C$10, "")</f>
        <v/>
      </c>
      <c r="J996" s="68"/>
      <c r="K996" s="69"/>
      <c r="L996" s="102"/>
      <c r="M996" s="102"/>
      <c r="N996" s="68"/>
      <c r="O996" s="68"/>
      <c r="P996" s="106"/>
      <c r="Q996" s="107"/>
      <c r="R996" s="107"/>
      <c r="S996" s="107"/>
      <c r="T996" s="107"/>
    </row>
    <row r="997" spans="2:20" x14ac:dyDescent="0.25">
      <c r="B997" s="68"/>
      <c r="C997" s="68"/>
      <c r="D997" s="68"/>
      <c r="E997" s="68"/>
      <c r="F997" s="68"/>
      <c r="G997" s="95" t="str">
        <f t="shared" si="15"/>
        <v/>
      </c>
      <c r="H997" s="91" t="str">
        <f>IF(E997&lt;&gt;"",E997/'Project Summary'!$C$9,"")</f>
        <v/>
      </c>
      <c r="I997" s="97" t="str">
        <f>IF(F997&lt;&gt;"",F997/'Project Summary'!$C$10, "")</f>
        <v/>
      </c>
      <c r="J997" s="68"/>
      <c r="K997" s="69"/>
      <c r="L997" s="102"/>
      <c r="M997" s="102"/>
      <c r="N997" s="68"/>
      <c r="O997" s="68"/>
      <c r="P997" s="106"/>
      <c r="Q997" s="107"/>
      <c r="R997" s="107"/>
      <c r="S997" s="107"/>
      <c r="T997" s="107"/>
    </row>
    <row r="998" spans="2:20" x14ac:dyDescent="0.25">
      <c r="B998" s="68"/>
      <c r="C998" s="68"/>
      <c r="D998" s="68"/>
      <c r="E998" s="68"/>
      <c r="F998" s="68"/>
      <c r="G998" s="95" t="str">
        <f t="shared" si="15"/>
        <v/>
      </c>
      <c r="H998" s="91" t="str">
        <f>IF(E998&lt;&gt;"",E998/'Project Summary'!$C$9,"")</f>
        <v/>
      </c>
      <c r="I998" s="97" t="str">
        <f>IF(F998&lt;&gt;"",F998/'Project Summary'!$C$10, "")</f>
        <v/>
      </c>
      <c r="J998" s="68"/>
      <c r="K998" s="69"/>
      <c r="L998" s="102"/>
      <c r="M998" s="102"/>
      <c r="N998" s="68"/>
      <c r="O998" s="68"/>
      <c r="P998" s="106"/>
      <c r="Q998" s="107"/>
      <c r="R998" s="107"/>
      <c r="S998" s="107"/>
      <c r="T998" s="107"/>
    </row>
    <row r="999" spans="2:20" x14ac:dyDescent="0.25">
      <c r="B999" s="68"/>
      <c r="C999" s="68"/>
      <c r="D999" s="68"/>
      <c r="E999" s="68"/>
      <c r="F999" s="68"/>
      <c r="G999" s="95" t="str">
        <f t="shared" si="15"/>
        <v/>
      </c>
      <c r="H999" s="91" t="str">
        <f>IF(E999&lt;&gt;"",E999/'Project Summary'!$C$9,"")</f>
        <v/>
      </c>
      <c r="I999" s="97" t="str">
        <f>IF(F999&lt;&gt;"",F999/'Project Summary'!$C$10, "")</f>
        <v/>
      </c>
      <c r="J999" s="68"/>
      <c r="K999" s="69"/>
      <c r="L999" s="102"/>
      <c r="M999" s="102"/>
      <c r="N999" s="68"/>
      <c r="O999" s="68"/>
      <c r="P999" s="106"/>
      <c r="Q999" s="107"/>
      <c r="R999" s="107"/>
      <c r="S999" s="107"/>
      <c r="T999" s="107"/>
    </row>
    <row r="1000" spans="2:20" x14ac:dyDescent="0.25">
      <c r="B1000" s="68"/>
      <c r="C1000" s="68"/>
      <c r="D1000" s="68"/>
      <c r="E1000" s="68"/>
      <c r="F1000" s="68"/>
      <c r="G1000" s="95" t="str">
        <f t="shared" si="15"/>
        <v/>
      </c>
      <c r="H1000" s="91" t="str">
        <f>IF(E1000&lt;&gt;"",E1000/'Project Summary'!$C$9,"")</f>
        <v/>
      </c>
      <c r="I1000" s="97" t="str">
        <f>IF(F1000&lt;&gt;"",F1000/'Project Summary'!$C$10, "")</f>
        <v/>
      </c>
      <c r="J1000" s="68"/>
      <c r="K1000" s="69"/>
      <c r="L1000" s="102"/>
      <c r="M1000" s="102"/>
      <c r="N1000" s="68"/>
      <c r="O1000" s="68"/>
      <c r="P1000" s="106"/>
      <c r="Q1000" s="107"/>
      <c r="R1000" s="107"/>
      <c r="S1000" s="107"/>
      <c r="T1000" s="107"/>
    </row>
    <row r="1001" spans="2:20" x14ac:dyDescent="0.25">
      <c r="B1001" s="68"/>
      <c r="C1001" s="68"/>
      <c r="D1001" s="68"/>
      <c r="E1001" s="68"/>
      <c r="F1001" s="68"/>
      <c r="G1001" s="95" t="str">
        <f t="shared" si="15"/>
        <v/>
      </c>
      <c r="H1001" s="91" t="str">
        <f>IF(E1001&lt;&gt;"",E1001/'Project Summary'!$C$9,"")</f>
        <v/>
      </c>
      <c r="I1001" s="97" t="str">
        <f>IF(F1001&lt;&gt;"",F1001/'Project Summary'!$C$10, "")</f>
        <v/>
      </c>
      <c r="J1001" s="68"/>
      <c r="K1001" s="69"/>
      <c r="L1001" s="102"/>
      <c r="M1001" s="102"/>
      <c r="N1001" s="68"/>
      <c r="O1001" s="68"/>
      <c r="P1001" s="106"/>
      <c r="Q1001" s="107"/>
      <c r="R1001" s="107"/>
      <c r="S1001" s="107"/>
      <c r="T1001" s="107"/>
    </row>
    <row r="1002" spans="2:20" x14ac:dyDescent="0.25">
      <c r="B1002" s="68"/>
      <c r="C1002" s="68"/>
      <c r="D1002" s="68"/>
      <c r="E1002" s="68"/>
      <c r="F1002" s="68"/>
      <c r="G1002" s="95" t="str">
        <f t="shared" si="15"/>
        <v/>
      </c>
      <c r="H1002" s="91" t="str">
        <f>IF(E1002&lt;&gt;"",E1002/'Project Summary'!$C$9,"")</f>
        <v/>
      </c>
      <c r="I1002" s="97" t="str">
        <f>IF(F1002&lt;&gt;"",F1002/'Project Summary'!$C$10, "")</f>
        <v/>
      </c>
      <c r="J1002" s="68"/>
      <c r="K1002" s="69"/>
      <c r="L1002" s="102"/>
      <c r="M1002" s="102"/>
      <c r="N1002" s="68"/>
      <c r="O1002" s="68"/>
      <c r="P1002" s="106"/>
      <c r="Q1002" s="107"/>
      <c r="R1002" s="107"/>
      <c r="S1002" s="107"/>
      <c r="T1002" s="107"/>
    </row>
    <row r="1003" spans="2:20" x14ac:dyDescent="0.25">
      <c r="B1003" s="68"/>
      <c r="C1003" s="68"/>
      <c r="D1003" s="68"/>
      <c r="E1003" s="68"/>
      <c r="F1003" s="68"/>
      <c r="G1003" s="95" t="str">
        <f t="shared" si="15"/>
        <v/>
      </c>
      <c r="H1003" s="91" t="str">
        <f>IF(E1003&lt;&gt;"",E1003/'Project Summary'!$C$9,"")</f>
        <v/>
      </c>
      <c r="I1003" s="97" t="str">
        <f>IF(F1003&lt;&gt;"",F1003/'Project Summary'!$C$10, "")</f>
        <v/>
      </c>
      <c r="J1003" s="68"/>
      <c r="K1003" s="69"/>
      <c r="L1003" s="102"/>
      <c r="M1003" s="102"/>
      <c r="N1003" s="68"/>
      <c r="O1003" s="68"/>
      <c r="P1003" s="106"/>
      <c r="Q1003" s="107"/>
      <c r="R1003" s="107"/>
      <c r="S1003" s="107"/>
      <c r="T1003" s="107"/>
    </row>
    <row r="1004" spans="2:20" x14ac:dyDescent="0.25">
      <c r="B1004" s="68"/>
      <c r="C1004" s="68"/>
      <c r="D1004" s="68"/>
      <c r="E1004" s="68"/>
      <c r="F1004" s="68"/>
      <c r="G1004" s="95" t="str">
        <f t="shared" si="15"/>
        <v/>
      </c>
      <c r="H1004" s="91" t="str">
        <f>IF(E1004&lt;&gt;"",E1004/'Project Summary'!$C$9,"")</f>
        <v/>
      </c>
      <c r="I1004" s="97" t="str">
        <f>IF(F1004&lt;&gt;"",F1004/'Project Summary'!$C$10, "")</f>
        <v/>
      </c>
      <c r="J1004" s="68"/>
      <c r="K1004" s="69"/>
      <c r="L1004" s="102"/>
      <c r="M1004" s="102"/>
      <c r="N1004" s="68"/>
      <c r="O1004" s="68"/>
      <c r="P1004" s="106"/>
      <c r="Q1004" s="107"/>
      <c r="R1004" s="107"/>
      <c r="S1004" s="107"/>
      <c r="T1004" s="107"/>
    </row>
    <row r="1005" spans="2:20" x14ac:dyDescent="0.25">
      <c r="B1005" s="68"/>
      <c r="C1005" s="68"/>
      <c r="D1005" s="68"/>
      <c r="E1005" s="68"/>
      <c r="F1005" s="68"/>
      <c r="G1005" s="95" t="str">
        <f t="shared" si="15"/>
        <v/>
      </c>
      <c r="H1005" s="91" t="str">
        <f>IF(E1005&lt;&gt;"",E1005/'Project Summary'!$C$9,"")</f>
        <v/>
      </c>
      <c r="I1005" s="97" t="str">
        <f>IF(F1005&lt;&gt;"",F1005/'Project Summary'!$C$10, "")</f>
        <v/>
      </c>
      <c r="J1005" s="68"/>
      <c r="K1005" s="69"/>
      <c r="L1005" s="102"/>
      <c r="M1005" s="102"/>
      <c r="N1005" s="68"/>
      <c r="O1005" s="68"/>
      <c r="P1005" s="106"/>
      <c r="Q1005" s="107"/>
      <c r="R1005" s="107"/>
      <c r="S1005" s="107"/>
      <c r="T1005" s="107"/>
    </row>
    <row r="1006" spans="2:20" x14ac:dyDescent="0.25">
      <c r="B1006" s="68"/>
      <c r="C1006" s="68"/>
      <c r="D1006" s="68"/>
      <c r="E1006" s="68"/>
      <c r="F1006" s="68"/>
      <c r="G1006" s="95" t="str">
        <f t="shared" si="15"/>
        <v/>
      </c>
      <c r="H1006" s="91" t="str">
        <f>IF(E1006&lt;&gt;"",E1006/'Project Summary'!$C$9,"")</f>
        <v/>
      </c>
      <c r="I1006" s="97" t="str">
        <f>IF(F1006&lt;&gt;"",F1006/'Project Summary'!$C$10, "")</f>
        <v/>
      </c>
      <c r="J1006" s="68"/>
      <c r="K1006" s="69"/>
      <c r="L1006" s="102"/>
      <c r="M1006" s="102"/>
      <c r="N1006" s="68"/>
      <c r="O1006" s="68"/>
      <c r="P1006" s="106"/>
      <c r="Q1006" s="107"/>
      <c r="R1006" s="107"/>
      <c r="S1006" s="107"/>
      <c r="T1006" s="107"/>
    </row>
    <row r="1007" spans="2:20" x14ac:dyDescent="0.25">
      <c r="B1007" s="68"/>
      <c r="C1007" s="68"/>
      <c r="D1007" s="68"/>
      <c r="E1007" s="68"/>
      <c r="F1007" s="68"/>
      <c r="G1007" s="95" t="str">
        <f t="shared" si="15"/>
        <v/>
      </c>
      <c r="H1007" s="91" t="str">
        <f>IF(E1007&lt;&gt;"",E1007/'Project Summary'!$C$9,"")</f>
        <v/>
      </c>
      <c r="I1007" s="97" t="str">
        <f>IF(F1007&lt;&gt;"",F1007/'Project Summary'!$C$10, "")</f>
        <v/>
      </c>
      <c r="J1007" s="68"/>
      <c r="K1007" s="69"/>
      <c r="L1007" s="102"/>
      <c r="M1007" s="102"/>
      <c r="N1007" s="68"/>
      <c r="O1007" s="68"/>
      <c r="P1007" s="106"/>
      <c r="Q1007" s="107"/>
      <c r="R1007" s="107"/>
      <c r="S1007" s="107"/>
      <c r="T1007" s="107"/>
    </row>
    <row r="1008" spans="2:20" x14ac:dyDescent="0.25">
      <c r="B1008" s="68"/>
      <c r="C1008" s="68"/>
      <c r="D1008" s="68"/>
      <c r="E1008" s="68"/>
      <c r="F1008" s="68"/>
      <c r="G1008" s="95" t="str">
        <f t="shared" si="15"/>
        <v/>
      </c>
      <c r="H1008" s="91" t="str">
        <f>IF(E1008&lt;&gt;"",E1008/'Project Summary'!$C$9,"")</f>
        <v/>
      </c>
      <c r="I1008" s="97" t="str">
        <f>IF(F1008&lt;&gt;"",F1008/'Project Summary'!$C$10, "")</f>
        <v/>
      </c>
      <c r="J1008" s="68"/>
      <c r="K1008" s="69"/>
      <c r="L1008" s="102"/>
      <c r="M1008" s="102"/>
      <c r="N1008" s="68"/>
      <c r="O1008" s="68"/>
      <c r="P1008" s="106"/>
      <c r="Q1008" s="107"/>
      <c r="R1008" s="107"/>
      <c r="S1008" s="107"/>
      <c r="T1008" s="107"/>
    </row>
    <row r="1009" spans="2:20" x14ac:dyDescent="0.25">
      <c r="B1009" s="68"/>
      <c r="C1009" s="68"/>
      <c r="D1009" s="68"/>
      <c r="E1009" s="68"/>
      <c r="F1009" s="68"/>
      <c r="G1009" s="95" t="str">
        <f t="shared" si="15"/>
        <v/>
      </c>
      <c r="H1009" s="91" t="str">
        <f>IF(E1009&lt;&gt;"",E1009/'Project Summary'!$C$9,"")</f>
        <v/>
      </c>
      <c r="I1009" s="97" t="str">
        <f>IF(F1009&lt;&gt;"",F1009/'Project Summary'!$C$10, "")</f>
        <v/>
      </c>
      <c r="J1009" s="68"/>
      <c r="K1009" s="69"/>
      <c r="L1009" s="102"/>
      <c r="M1009" s="102"/>
      <c r="N1009" s="68"/>
      <c r="O1009" s="68"/>
      <c r="P1009" s="106"/>
      <c r="Q1009" s="107"/>
      <c r="R1009" s="107"/>
      <c r="S1009" s="107"/>
      <c r="T1009" s="107"/>
    </row>
    <row r="1010" spans="2:20" x14ac:dyDescent="0.25">
      <c r="B1010" s="68"/>
      <c r="C1010" s="68"/>
      <c r="D1010" s="68"/>
      <c r="E1010" s="68"/>
      <c r="F1010" s="68"/>
      <c r="G1010" s="95" t="str">
        <f t="shared" si="15"/>
        <v/>
      </c>
      <c r="H1010" s="91" t="str">
        <f>IF(E1010&lt;&gt;"",E1010/'Project Summary'!$C$9,"")</f>
        <v/>
      </c>
      <c r="I1010" s="97" t="str">
        <f>IF(F1010&lt;&gt;"",F1010/'Project Summary'!$C$10, "")</f>
        <v/>
      </c>
      <c r="J1010" s="68"/>
      <c r="K1010" s="69"/>
      <c r="L1010" s="102"/>
      <c r="M1010" s="102"/>
      <c r="N1010" s="68"/>
      <c r="O1010" s="68"/>
      <c r="P1010" s="106"/>
      <c r="Q1010" s="107"/>
      <c r="R1010" s="107"/>
      <c r="S1010" s="107"/>
      <c r="T1010" s="107"/>
    </row>
    <row r="1011" spans="2:20" x14ac:dyDescent="0.25">
      <c r="B1011" s="68"/>
      <c r="C1011" s="68"/>
      <c r="D1011" s="68"/>
      <c r="E1011" s="68"/>
      <c r="F1011" s="68"/>
      <c r="G1011" s="95" t="str">
        <f t="shared" si="15"/>
        <v/>
      </c>
      <c r="H1011" s="91" t="str">
        <f>IF(E1011&lt;&gt;"",E1011/'Project Summary'!$C$9,"")</f>
        <v/>
      </c>
      <c r="I1011" s="97" t="str">
        <f>IF(F1011&lt;&gt;"",F1011/'Project Summary'!$C$10, "")</f>
        <v/>
      </c>
      <c r="J1011" s="68"/>
      <c r="K1011" s="69"/>
      <c r="L1011" s="102"/>
      <c r="M1011" s="102"/>
      <c r="N1011" s="68"/>
      <c r="O1011" s="68"/>
      <c r="P1011" s="106"/>
      <c r="Q1011" s="107"/>
      <c r="R1011" s="107"/>
      <c r="S1011" s="107"/>
      <c r="T1011" s="107"/>
    </row>
    <row r="1012" spans="2:20" x14ac:dyDescent="0.25">
      <c r="B1012" s="68"/>
      <c r="C1012" s="68"/>
      <c r="D1012" s="68"/>
      <c r="E1012" s="68"/>
      <c r="F1012" s="68"/>
      <c r="G1012" s="95" t="str">
        <f t="shared" si="15"/>
        <v/>
      </c>
      <c r="H1012" s="91" t="str">
        <f>IF(E1012&lt;&gt;"",E1012/'Project Summary'!$C$9,"")</f>
        <v/>
      </c>
      <c r="I1012" s="97" t="str">
        <f>IF(F1012&lt;&gt;"",F1012/'Project Summary'!$C$10, "")</f>
        <v/>
      </c>
      <c r="J1012" s="68"/>
      <c r="K1012" s="69"/>
      <c r="L1012" s="102"/>
      <c r="M1012" s="102"/>
      <c r="N1012" s="68"/>
      <c r="O1012" s="68"/>
      <c r="P1012" s="106"/>
      <c r="Q1012" s="107"/>
      <c r="R1012" s="107"/>
      <c r="S1012" s="107"/>
      <c r="T1012" s="107"/>
    </row>
    <row r="1013" spans="2:20" x14ac:dyDescent="0.25">
      <c r="B1013" s="68"/>
      <c r="C1013" s="68"/>
      <c r="D1013" s="68"/>
      <c r="E1013" s="68"/>
      <c r="F1013" s="68"/>
      <c r="G1013" s="95" t="str">
        <f t="shared" si="15"/>
        <v/>
      </c>
      <c r="H1013" s="91" t="str">
        <f>IF(E1013&lt;&gt;"",E1013/'Project Summary'!$C$9,"")</f>
        <v/>
      </c>
      <c r="I1013" s="97" t="str">
        <f>IF(F1013&lt;&gt;"",F1013/'Project Summary'!$C$10, "")</f>
        <v/>
      </c>
      <c r="J1013" s="68"/>
      <c r="K1013" s="69"/>
      <c r="L1013" s="102"/>
      <c r="M1013" s="102"/>
      <c r="N1013" s="68"/>
      <c r="O1013" s="68"/>
      <c r="P1013" s="106"/>
      <c r="Q1013" s="107"/>
      <c r="R1013" s="107"/>
      <c r="S1013" s="107"/>
      <c r="T1013" s="107"/>
    </row>
    <row r="1014" spans="2:20" x14ac:dyDescent="0.25">
      <c r="B1014" s="68"/>
      <c r="C1014" s="68"/>
      <c r="D1014" s="68"/>
      <c r="E1014" s="68"/>
      <c r="F1014" s="68"/>
      <c r="G1014" s="95" t="str">
        <f t="shared" si="15"/>
        <v/>
      </c>
      <c r="H1014" s="91" t="str">
        <f>IF(E1014&lt;&gt;"",E1014/'Project Summary'!$C$9,"")</f>
        <v/>
      </c>
      <c r="I1014" s="97" t="str">
        <f>IF(F1014&lt;&gt;"",F1014/'Project Summary'!$C$10, "")</f>
        <v/>
      </c>
      <c r="J1014" s="68"/>
      <c r="K1014" s="69"/>
      <c r="L1014" s="102"/>
      <c r="M1014" s="102"/>
      <c r="N1014" s="68"/>
      <c r="O1014" s="68"/>
      <c r="P1014" s="106"/>
      <c r="Q1014" s="107"/>
      <c r="R1014" s="107"/>
      <c r="S1014" s="107"/>
      <c r="T1014" s="107"/>
    </row>
    <row r="1015" spans="2:20" x14ac:dyDescent="0.25">
      <c r="B1015" s="68"/>
      <c r="C1015" s="68"/>
      <c r="D1015" s="68"/>
      <c r="E1015" s="68"/>
      <c r="F1015" s="68"/>
      <c r="G1015" s="95" t="str">
        <f t="shared" si="15"/>
        <v/>
      </c>
      <c r="H1015" s="91" t="str">
        <f>IF(E1015&lt;&gt;"",E1015/'Project Summary'!$C$9,"")</f>
        <v/>
      </c>
      <c r="I1015" s="97" t="str">
        <f>IF(F1015&lt;&gt;"",F1015/'Project Summary'!$C$10, "")</f>
        <v/>
      </c>
      <c r="J1015" s="68"/>
      <c r="K1015" s="69"/>
      <c r="L1015" s="102"/>
      <c r="M1015" s="102"/>
      <c r="N1015" s="68"/>
      <c r="O1015" s="68"/>
      <c r="P1015" s="106"/>
      <c r="Q1015" s="107"/>
      <c r="R1015" s="107"/>
      <c r="S1015" s="107"/>
      <c r="T1015" s="107"/>
    </row>
    <row r="1016" spans="2:20" x14ac:dyDescent="0.25">
      <c r="B1016" s="68"/>
      <c r="C1016" s="68"/>
      <c r="D1016" s="68"/>
      <c r="E1016" s="68"/>
      <c r="F1016" s="68"/>
      <c r="G1016" s="95" t="str">
        <f t="shared" si="15"/>
        <v/>
      </c>
      <c r="H1016" s="91" t="str">
        <f>IF(E1016&lt;&gt;"",E1016/'Project Summary'!$C$9,"")</f>
        <v/>
      </c>
      <c r="I1016" s="97" t="str">
        <f>IF(F1016&lt;&gt;"",F1016/'Project Summary'!$C$10, "")</f>
        <v/>
      </c>
      <c r="J1016" s="68"/>
      <c r="K1016" s="69"/>
      <c r="L1016" s="102"/>
      <c r="M1016" s="102"/>
      <c r="N1016" s="68"/>
      <c r="O1016" s="68"/>
      <c r="P1016" s="106"/>
      <c r="Q1016" s="107"/>
      <c r="R1016" s="107"/>
      <c r="S1016" s="107"/>
      <c r="T1016" s="107"/>
    </row>
    <row r="1017" spans="2:20" x14ac:dyDescent="0.25">
      <c r="B1017" s="68"/>
      <c r="C1017" s="68"/>
      <c r="D1017" s="68"/>
      <c r="E1017" s="68"/>
      <c r="F1017" s="68"/>
      <c r="G1017" s="95" t="str">
        <f t="shared" si="15"/>
        <v/>
      </c>
      <c r="H1017" s="91" t="str">
        <f>IF(E1017&lt;&gt;"",E1017/'Project Summary'!$C$9,"")</f>
        <v/>
      </c>
      <c r="I1017" s="97" t="str">
        <f>IF(F1017&lt;&gt;"",F1017/'Project Summary'!$C$10, "")</f>
        <v/>
      </c>
      <c r="J1017" s="68"/>
      <c r="K1017" s="69"/>
      <c r="L1017" s="102"/>
      <c r="M1017" s="102"/>
      <c r="N1017" s="68"/>
      <c r="O1017" s="68"/>
      <c r="P1017" s="106"/>
      <c r="Q1017" s="107"/>
      <c r="R1017" s="107"/>
      <c r="S1017" s="107"/>
      <c r="T1017" s="107"/>
    </row>
    <row r="1018" spans="2:20" x14ac:dyDescent="0.25">
      <c r="B1018" s="68"/>
      <c r="C1018" s="68"/>
      <c r="D1018" s="68"/>
      <c r="E1018" s="68"/>
      <c r="F1018" s="68"/>
      <c r="G1018" s="95" t="str">
        <f t="shared" si="15"/>
        <v/>
      </c>
      <c r="H1018" s="91" t="str">
        <f>IF(E1018&lt;&gt;"",E1018/'Project Summary'!$C$9,"")</f>
        <v/>
      </c>
      <c r="I1018" s="97" t="str">
        <f>IF(F1018&lt;&gt;"",F1018/'Project Summary'!$C$10, "")</f>
        <v/>
      </c>
      <c r="J1018" s="68"/>
      <c r="K1018" s="69"/>
      <c r="L1018" s="102"/>
      <c r="M1018" s="102"/>
      <c r="N1018" s="68"/>
      <c r="O1018" s="68"/>
      <c r="P1018" s="106"/>
      <c r="Q1018" s="107"/>
      <c r="R1018" s="107"/>
      <c r="S1018" s="107"/>
      <c r="T1018" s="107"/>
    </row>
    <row r="1019" spans="2:20" x14ac:dyDescent="0.25">
      <c r="B1019" s="68"/>
      <c r="C1019" s="68"/>
      <c r="D1019" s="68"/>
      <c r="E1019" s="68"/>
      <c r="F1019" s="68"/>
      <c r="G1019" s="95" t="str">
        <f t="shared" si="15"/>
        <v/>
      </c>
      <c r="H1019" s="91" t="str">
        <f>IF(E1019&lt;&gt;"",E1019/'Project Summary'!$C$9,"")</f>
        <v/>
      </c>
      <c r="I1019" s="97" t="str">
        <f>IF(F1019&lt;&gt;"",F1019/'Project Summary'!$C$10, "")</f>
        <v/>
      </c>
      <c r="J1019" s="68"/>
      <c r="K1019" s="69"/>
      <c r="L1019" s="102"/>
      <c r="M1019" s="102"/>
      <c r="N1019" s="68"/>
      <c r="O1019" s="68"/>
      <c r="P1019" s="106"/>
      <c r="Q1019" s="107"/>
      <c r="R1019" s="107"/>
      <c r="S1019" s="107"/>
      <c r="T1019" s="107"/>
    </row>
    <row r="1020" spans="2:20" x14ac:dyDescent="0.25">
      <c r="B1020" s="68"/>
      <c r="C1020" s="68"/>
      <c r="D1020" s="68"/>
      <c r="E1020" s="68"/>
      <c r="F1020" s="68"/>
      <c r="G1020" s="95" t="str">
        <f t="shared" si="15"/>
        <v/>
      </c>
      <c r="H1020" s="91" t="str">
        <f>IF(E1020&lt;&gt;"",E1020/'Project Summary'!$C$9,"")</f>
        <v/>
      </c>
      <c r="I1020" s="97" t="str">
        <f>IF(F1020&lt;&gt;"",F1020/'Project Summary'!$C$10, "")</f>
        <v/>
      </c>
      <c r="J1020" s="68"/>
      <c r="K1020" s="69"/>
      <c r="L1020" s="102"/>
      <c r="M1020" s="102"/>
      <c r="N1020" s="68"/>
      <c r="O1020" s="68"/>
      <c r="P1020" s="106"/>
      <c r="Q1020" s="107"/>
      <c r="R1020" s="107"/>
      <c r="S1020" s="107"/>
      <c r="T1020" s="107"/>
    </row>
    <row r="1021" spans="2:20" x14ac:dyDescent="0.25">
      <c r="B1021" s="68"/>
      <c r="C1021" s="68"/>
      <c r="D1021" s="68"/>
      <c r="E1021" s="68"/>
      <c r="F1021" s="68"/>
      <c r="G1021" s="95" t="str">
        <f t="shared" si="15"/>
        <v/>
      </c>
      <c r="H1021" s="91" t="str">
        <f>IF(E1021&lt;&gt;"",E1021/'Project Summary'!$C$9,"")</f>
        <v/>
      </c>
      <c r="I1021" s="97" t="str">
        <f>IF(F1021&lt;&gt;"",F1021/'Project Summary'!$C$10, "")</f>
        <v/>
      </c>
      <c r="J1021" s="68"/>
      <c r="K1021" s="69"/>
      <c r="L1021" s="102"/>
      <c r="M1021" s="102"/>
      <c r="N1021" s="68"/>
      <c r="O1021" s="68"/>
      <c r="P1021" s="106"/>
      <c r="Q1021" s="107"/>
      <c r="R1021" s="107"/>
      <c r="S1021" s="107"/>
      <c r="T1021" s="107"/>
    </row>
    <row r="1022" spans="2:20" x14ac:dyDescent="0.25">
      <c r="B1022" s="68"/>
      <c r="C1022" s="68"/>
      <c r="D1022" s="68"/>
      <c r="E1022" s="68"/>
      <c r="F1022" s="68"/>
      <c r="G1022" s="95" t="str">
        <f t="shared" si="15"/>
        <v/>
      </c>
      <c r="H1022" s="91" t="str">
        <f>IF(E1022&lt;&gt;"",E1022/'Project Summary'!$C$9,"")</f>
        <v/>
      </c>
      <c r="I1022" s="97" t="str">
        <f>IF(F1022&lt;&gt;"",F1022/'Project Summary'!$C$10, "")</f>
        <v/>
      </c>
      <c r="J1022" s="68"/>
      <c r="K1022" s="69"/>
      <c r="L1022" s="102"/>
      <c r="M1022" s="102"/>
      <c r="N1022" s="68"/>
      <c r="O1022" s="68"/>
      <c r="P1022" s="106"/>
      <c r="Q1022" s="107"/>
      <c r="R1022" s="107"/>
      <c r="S1022" s="107"/>
      <c r="T1022" s="107"/>
    </row>
    <row r="1023" spans="2:20" x14ac:dyDescent="0.25">
      <c r="B1023" s="68"/>
      <c r="C1023" s="68"/>
      <c r="D1023" s="68"/>
      <c r="E1023" s="68"/>
      <c r="F1023" s="68"/>
      <c r="G1023" s="95" t="str">
        <f t="shared" si="15"/>
        <v/>
      </c>
      <c r="H1023" s="91" t="str">
        <f>IF(E1023&lt;&gt;"",E1023/'Project Summary'!$C$9,"")</f>
        <v/>
      </c>
      <c r="I1023" s="97" t="str">
        <f>IF(F1023&lt;&gt;"",F1023/'Project Summary'!$C$10, "")</f>
        <v/>
      </c>
      <c r="J1023" s="68"/>
      <c r="K1023" s="69"/>
      <c r="L1023" s="102"/>
      <c r="M1023" s="102"/>
      <c r="N1023" s="68"/>
      <c r="O1023" s="68"/>
      <c r="P1023" s="106"/>
      <c r="Q1023" s="107"/>
      <c r="R1023" s="107"/>
      <c r="S1023" s="107"/>
      <c r="T1023" s="107"/>
    </row>
    <row r="1024" spans="2:20" x14ac:dyDescent="0.25">
      <c r="B1024" s="68"/>
      <c r="C1024" s="68"/>
      <c r="D1024" s="68"/>
      <c r="E1024" s="68"/>
      <c r="F1024" s="68"/>
      <c r="G1024" s="95" t="str">
        <f t="shared" si="15"/>
        <v/>
      </c>
      <c r="H1024" s="91" t="str">
        <f>IF(E1024&lt;&gt;"",E1024/'Project Summary'!$C$9,"")</f>
        <v/>
      </c>
      <c r="I1024" s="97" t="str">
        <f>IF(F1024&lt;&gt;"",F1024/'Project Summary'!$C$10, "")</f>
        <v/>
      </c>
      <c r="J1024" s="68"/>
      <c r="K1024" s="69"/>
      <c r="L1024" s="102"/>
      <c r="M1024" s="102"/>
      <c r="N1024" s="68"/>
      <c r="O1024" s="68"/>
      <c r="P1024" s="106"/>
      <c r="Q1024" s="107"/>
      <c r="R1024" s="107"/>
      <c r="S1024" s="107"/>
      <c r="T1024" s="107"/>
    </row>
    <row r="1025" spans="2:20" x14ac:dyDescent="0.25">
      <c r="B1025" s="68"/>
      <c r="C1025" s="68"/>
      <c r="D1025" s="68"/>
      <c r="E1025" s="68"/>
      <c r="F1025" s="68"/>
      <c r="G1025" s="95" t="str">
        <f t="shared" si="15"/>
        <v/>
      </c>
      <c r="H1025" s="91" t="str">
        <f>IF(E1025&lt;&gt;"",E1025/'Project Summary'!$C$9,"")</f>
        <v/>
      </c>
      <c r="I1025" s="97" t="str">
        <f>IF(F1025&lt;&gt;"",F1025/'Project Summary'!$C$10, "")</f>
        <v/>
      </c>
      <c r="J1025" s="68"/>
      <c r="K1025" s="69"/>
      <c r="L1025" s="102"/>
      <c r="M1025" s="102"/>
      <c r="N1025" s="68"/>
      <c r="O1025" s="68"/>
      <c r="P1025" s="106"/>
      <c r="Q1025" s="107"/>
      <c r="R1025" s="107"/>
      <c r="S1025" s="107"/>
      <c r="T1025" s="107"/>
    </row>
    <row r="1026" spans="2:20" x14ac:dyDescent="0.25">
      <c r="B1026" s="68"/>
      <c r="C1026" s="68"/>
      <c r="D1026" s="68"/>
      <c r="E1026" s="68"/>
      <c r="F1026" s="68"/>
      <c r="G1026" s="95" t="str">
        <f t="shared" si="15"/>
        <v/>
      </c>
      <c r="H1026" s="91" t="str">
        <f>IF(E1026&lt;&gt;"",E1026/'Project Summary'!$C$9,"")</f>
        <v/>
      </c>
      <c r="I1026" s="97" t="str">
        <f>IF(F1026&lt;&gt;"",F1026/'Project Summary'!$C$10, "")</f>
        <v/>
      </c>
      <c r="J1026" s="68"/>
      <c r="K1026" s="69"/>
      <c r="L1026" s="102"/>
      <c r="M1026" s="102"/>
      <c r="N1026" s="68"/>
      <c r="O1026" s="68"/>
      <c r="P1026" s="106"/>
      <c r="Q1026" s="107"/>
      <c r="R1026" s="107"/>
      <c r="S1026" s="107"/>
      <c r="T1026" s="107"/>
    </row>
    <row r="1027" spans="2:20" x14ac:dyDescent="0.25">
      <c r="B1027" s="68"/>
      <c r="C1027" s="68"/>
      <c r="D1027" s="68"/>
      <c r="E1027" s="68"/>
      <c r="F1027" s="68"/>
      <c r="G1027" s="95" t="str">
        <f t="shared" si="15"/>
        <v/>
      </c>
      <c r="H1027" s="91" t="str">
        <f>IF(E1027&lt;&gt;"",E1027/'Project Summary'!$C$9,"")</f>
        <v/>
      </c>
      <c r="I1027" s="97" t="str">
        <f>IF(F1027&lt;&gt;"",F1027/'Project Summary'!$C$10, "")</f>
        <v/>
      </c>
      <c r="J1027" s="68"/>
      <c r="K1027" s="69"/>
      <c r="L1027" s="102"/>
      <c r="M1027" s="102"/>
      <c r="N1027" s="68"/>
      <c r="O1027" s="68"/>
      <c r="P1027" s="106"/>
      <c r="Q1027" s="107"/>
      <c r="R1027" s="107"/>
      <c r="S1027" s="107"/>
      <c r="T1027" s="107"/>
    </row>
    <row r="1028" spans="2:20" x14ac:dyDescent="0.25">
      <c r="B1028" s="68"/>
      <c r="C1028" s="68"/>
      <c r="D1028" s="68"/>
      <c r="E1028" s="68"/>
      <c r="F1028" s="68"/>
      <c r="G1028" s="95" t="str">
        <f t="shared" si="15"/>
        <v/>
      </c>
      <c r="H1028" s="91" t="str">
        <f>IF(E1028&lt;&gt;"",E1028/'Project Summary'!$C$9,"")</f>
        <v/>
      </c>
      <c r="I1028" s="97" t="str">
        <f>IF(F1028&lt;&gt;"",F1028/'Project Summary'!$C$10, "")</f>
        <v/>
      </c>
      <c r="J1028" s="68"/>
      <c r="K1028" s="69"/>
      <c r="L1028" s="102"/>
      <c r="M1028" s="102"/>
      <c r="N1028" s="68"/>
      <c r="O1028" s="68"/>
      <c r="P1028" s="106"/>
      <c r="Q1028" s="107"/>
      <c r="R1028" s="107"/>
      <c r="S1028" s="107"/>
      <c r="T1028" s="107"/>
    </row>
    <row r="1029" spans="2:20" x14ac:dyDescent="0.25">
      <c r="B1029" s="68"/>
      <c r="C1029" s="68"/>
      <c r="D1029" s="68"/>
      <c r="E1029" s="68"/>
      <c r="F1029" s="68"/>
      <c r="G1029" s="95" t="str">
        <f t="shared" si="15"/>
        <v/>
      </c>
      <c r="H1029" s="91" t="str">
        <f>IF(E1029&lt;&gt;"",E1029/'Project Summary'!$C$9,"")</f>
        <v/>
      </c>
      <c r="I1029" s="97" t="str">
        <f>IF(F1029&lt;&gt;"",F1029/'Project Summary'!$C$10, "")</f>
        <v/>
      </c>
      <c r="J1029" s="68"/>
      <c r="K1029" s="69"/>
      <c r="L1029" s="102"/>
      <c r="M1029" s="102"/>
      <c r="N1029" s="68"/>
      <c r="O1029" s="68"/>
      <c r="P1029" s="106"/>
      <c r="Q1029" s="107"/>
      <c r="R1029" s="107"/>
      <c r="S1029" s="107"/>
      <c r="T1029" s="107"/>
    </row>
    <row r="1030" spans="2:20" x14ac:dyDescent="0.25">
      <c r="B1030" s="68"/>
      <c r="C1030" s="68"/>
      <c r="D1030" s="68"/>
      <c r="E1030" s="68"/>
      <c r="F1030" s="68"/>
      <c r="G1030" s="95" t="str">
        <f t="shared" si="15"/>
        <v/>
      </c>
      <c r="H1030" s="91" t="str">
        <f>IF(E1030&lt;&gt;"",E1030/'Project Summary'!$C$9,"")</f>
        <v/>
      </c>
      <c r="I1030" s="97" t="str">
        <f>IF(F1030&lt;&gt;"",F1030/'Project Summary'!$C$10, "")</f>
        <v/>
      </c>
      <c r="J1030" s="68"/>
      <c r="K1030" s="69"/>
      <c r="L1030" s="102"/>
      <c r="M1030" s="102"/>
      <c r="N1030" s="68"/>
      <c r="O1030" s="68"/>
      <c r="P1030" s="106"/>
      <c r="Q1030" s="107"/>
      <c r="R1030" s="107"/>
      <c r="S1030" s="107"/>
      <c r="T1030" s="107"/>
    </row>
    <row r="1031" spans="2:20" x14ac:dyDescent="0.25">
      <c r="B1031" s="68"/>
      <c r="C1031" s="68"/>
      <c r="D1031" s="68"/>
      <c r="E1031" s="68"/>
      <c r="F1031" s="68"/>
      <c r="G1031" s="95" t="str">
        <f t="shared" si="15"/>
        <v/>
      </c>
      <c r="H1031" s="91" t="str">
        <f>IF(E1031&lt;&gt;"",E1031/'Project Summary'!$C$9,"")</f>
        <v/>
      </c>
      <c r="I1031" s="97" t="str">
        <f>IF(F1031&lt;&gt;"",F1031/'Project Summary'!$C$10, "")</f>
        <v/>
      </c>
      <c r="J1031" s="68"/>
      <c r="K1031" s="69"/>
      <c r="L1031" s="102"/>
      <c r="M1031" s="102"/>
      <c r="N1031" s="68"/>
      <c r="O1031" s="68"/>
      <c r="P1031" s="106"/>
      <c r="Q1031" s="107"/>
      <c r="R1031" s="107"/>
      <c r="S1031" s="107"/>
      <c r="T1031" s="107"/>
    </row>
    <row r="1032" spans="2:20" x14ac:dyDescent="0.25">
      <c r="B1032" s="68"/>
      <c r="C1032" s="68"/>
      <c r="D1032" s="68"/>
      <c r="E1032" s="68"/>
      <c r="F1032" s="68"/>
      <c r="G1032" s="95" t="str">
        <f t="shared" si="15"/>
        <v/>
      </c>
      <c r="H1032" s="91" t="str">
        <f>IF(E1032&lt;&gt;"",E1032/'Project Summary'!$C$9,"")</f>
        <v/>
      </c>
      <c r="I1032" s="97" t="str">
        <f>IF(F1032&lt;&gt;"",F1032/'Project Summary'!$C$10, "")</f>
        <v/>
      </c>
      <c r="J1032" s="68"/>
      <c r="K1032" s="69"/>
      <c r="L1032" s="102"/>
      <c r="M1032" s="102"/>
      <c r="N1032" s="68"/>
      <c r="O1032" s="68"/>
      <c r="P1032" s="106"/>
      <c r="Q1032" s="107"/>
      <c r="R1032" s="107"/>
      <c r="S1032" s="107"/>
      <c r="T1032" s="107"/>
    </row>
    <row r="1033" spans="2:20" x14ac:dyDescent="0.25">
      <c r="B1033" s="68"/>
      <c r="C1033" s="68"/>
      <c r="D1033" s="68"/>
      <c r="E1033" s="68"/>
      <c r="F1033" s="68"/>
      <c r="G1033" s="95" t="str">
        <f t="shared" si="15"/>
        <v/>
      </c>
      <c r="H1033" s="91" t="str">
        <f>IF(E1033&lt;&gt;"",E1033/'Project Summary'!$C$9,"")</f>
        <v/>
      </c>
      <c r="I1033" s="97" t="str">
        <f>IF(F1033&lt;&gt;"",F1033/'Project Summary'!$C$10, "")</f>
        <v/>
      </c>
      <c r="J1033" s="68"/>
      <c r="K1033" s="69"/>
      <c r="L1033" s="102"/>
      <c r="M1033" s="102"/>
      <c r="N1033" s="68"/>
      <c r="O1033" s="68"/>
      <c r="P1033" s="106"/>
      <c r="Q1033" s="107"/>
      <c r="R1033" s="107"/>
      <c r="S1033" s="107"/>
      <c r="T1033" s="107"/>
    </row>
    <row r="1034" spans="2:20" x14ac:dyDescent="0.25">
      <c r="B1034" s="68"/>
      <c r="C1034" s="68"/>
      <c r="D1034" s="68"/>
      <c r="E1034" s="68"/>
      <c r="F1034" s="68"/>
      <c r="G1034" s="95" t="str">
        <f t="shared" si="15"/>
        <v/>
      </c>
      <c r="H1034" s="91" t="str">
        <f>IF(E1034&lt;&gt;"",E1034/'Project Summary'!$C$9,"")</f>
        <v/>
      </c>
      <c r="I1034" s="97" t="str">
        <f>IF(F1034&lt;&gt;"",F1034/'Project Summary'!$C$10, "")</f>
        <v/>
      </c>
      <c r="J1034" s="68"/>
      <c r="K1034" s="69"/>
      <c r="L1034" s="102"/>
      <c r="M1034" s="102"/>
      <c r="N1034" s="68"/>
      <c r="O1034" s="68"/>
      <c r="P1034" s="106"/>
      <c r="Q1034" s="107"/>
      <c r="R1034" s="107"/>
      <c r="S1034" s="107"/>
      <c r="T1034" s="107"/>
    </row>
    <row r="1035" spans="2:20" x14ac:dyDescent="0.25">
      <c r="B1035" s="68"/>
      <c r="C1035" s="68"/>
      <c r="D1035" s="68"/>
      <c r="E1035" s="68"/>
      <c r="F1035" s="68"/>
      <c r="G1035" s="95" t="str">
        <f t="shared" si="15"/>
        <v/>
      </c>
      <c r="H1035" s="91" t="str">
        <f>IF(E1035&lt;&gt;"",E1035/'Project Summary'!$C$9,"")</f>
        <v/>
      </c>
      <c r="I1035" s="97" t="str">
        <f>IF(F1035&lt;&gt;"",F1035/'Project Summary'!$C$10, "")</f>
        <v/>
      </c>
      <c r="J1035" s="68"/>
      <c r="K1035" s="69"/>
      <c r="L1035" s="102"/>
      <c r="M1035" s="102"/>
      <c r="N1035" s="68"/>
      <c r="O1035" s="68"/>
      <c r="P1035" s="106"/>
      <c r="Q1035" s="107"/>
      <c r="R1035" s="107"/>
      <c r="S1035" s="107"/>
      <c r="T1035" s="107"/>
    </row>
    <row r="1036" spans="2:20" x14ac:dyDescent="0.25">
      <c r="B1036" s="68"/>
      <c r="C1036" s="68"/>
      <c r="D1036" s="68"/>
      <c r="E1036" s="68"/>
      <c r="F1036" s="68"/>
      <c r="G1036" s="95" t="str">
        <f t="shared" ref="G1036:G1099" si="16">IF(D1036&lt;&gt;"", D1036/E1036, "")</f>
        <v/>
      </c>
      <c r="H1036" s="91" t="str">
        <f>IF(E1036&lt;&gt;"",E1036/'Project Summary'!$C$9,"")</f>
        <v/>
      </c>
      <c r="I1036" s="97" t="str">
        <f>IF(F1036&lt;&gt;"",F1036/'Project Summary'!$C$10, "")</f>
        <v/>
      </c>
      <c r="J1036" s="68"/>
      <c r="K1036" s="69"/>
      <c r="L1036" s="102"/>
      <c r="M1036" s="102"/>
      <c r="N1036" s="68"/>
      <c r="O1036" s="68"/>
      <c r="P1036" s="106"/>
      <c r="Q1036" s="107"/>
      <c r="R1036" s="107"/>
      <c r="S1036" s="107"/>
      <c r="T1036" s="107"/>
    </row>
    <row r="1037" spans="2:20" x14ac:dyDescent="0.25">
      <c r="B1037" s="68"/>
      <c r="C1037" s="68"/>
      <c r="D1037" s="68"/>
      <c r="E1037" s="68"/>
      <c r="F1037" s="68"/>
      <c r="G1037" s="95" t="str">
        <f t="shared" si="16"/>
        <v/>
      </c>
      <c r="H1037" s="91" t="str">
        <f>IF(E1037&lt;&gt;"",E1037/'Project Summary'!$C$9,"")</f>
        <v/>
      </c>
      <c r="I1037" s="97" t="str">
        <f>IF(F1037&lt;&gt;"",F1037/'Project Summary'!$C$10, "")</f>
        <v/>
      </c>
      <c r="J1037" s="68"/>
      <c r="K1037" s="69"/>
      <c r="L1037" s="102"/>
      <c r="M1037" s="102"/>
      <c r="N1037" s="68"/>
      <c r="O1037" s="68"/>
      <c r="P1037" s="106"/>
      <c r="Q1037" s="107"/>
      <c r="R1037" s="107"/>
      <c r="S1037" s="107"/>
      <c r="T1037" s="107"/>
    </row>
    <row r="1038" spans="2:20" x14ac:dyDescent="0.25">
      <c r="B1038" s="68"/>
      <c r="C1038" s="68"/>
      <c r="D1038" s="68"/>
      <c r="E1038" s="68"/>
      <c r="F1038" s="68"/>
      <c r="G1038" s="95" t="str">
        <f t="shared" si="16"/>
        <v/>
      </c>
      <c r="H1038" s="91" t="str">
        <f>IF(E1038&lt;&gt;"",E1038/'Project Summary'!$C$9,"")</f>
        <v/>
      </c>
      <c r="I1038" s="97" t="str">
        <f>IF(F1038&lt;&gt;"",F1038/'Project Summary'!$C$10, "")</f>
        <v/>
      </c>
      <c r="J1038" s="68"/>
      <c r="K1038" s="69"/>
      <c r="L1038" s="102"/>
      <c r="M1038" s="102"/>
      <c r="N1038" s="68"/>
      <c r="O1038" s="68"/>
      <c r="P1038" s="106"/>
      <c r="Q1038" s="107"/>
      <c r="R1038" s="107"/>
      <c r="S1038" s="107"/>
      <c r="T1038" s="107"/>
    </row>
    <row r="1039" spans="2:20" x14ac:dyDescent="0.25">
      <c r="B1039" s="68"/>
      <c r="C1039" s="68"/>
      <c r="D1039" s="68"/>
      <c r="E1039" s="68"/>
      <c r="F1039" s="68"/>
      <c r="G1039" s="95" t="str">
        <f t="shared" si="16"/>
        <v/>
      </c>
      <c r="H1039" s="91" t="str">
        <f>IF(E1039&lt;&gt;"",E1039/'Project Summary'!$C$9,"")</f>
        <v/>
      </c>
      <c r="I1039" s="97" t="str">
        <f>IF(F1039&lt;&gt;"",F1039/'Project Summary'!$C$10, "")</f>
        <v/>
      </c>
      <c r="J1039" s="68"/>
      <c r="K1039" s="69"/>
      <c r="L1039" s="102"/>
      <c r="M1039" s="102"/>
      <c r="N1039" s="68"/>
      <c r="O1039" s="68"/>
      <c r="P1039" s="106"/>
      <c r="Q1039" s="107"/>
      <c r="R1039" s="107"/>
      <c r="S1039" s="107"/>
      <c r="T1039" s="107"/>
    </row>
    <row r="1040" spans="2:20" x14ac:dyDescent="0.25">
      <c r="B1040" s="68"/>
      <c r="C1040" s="68"/>
      <c r="D1040" s="68"/>
      <c r="E1040" s="68"/>
      <c r="F1040" s="68"/>
      <c r="G1040" s="95" t="str">
        <f t="shared" si="16"/>
        <v/>
      </c>
      <c r="H1040" s="91" t="str">
        <f>IF(E1040&lt;&gt;"",E1040/'Project Summary'!$C$9,"")</f>
        <v/>
      </c>
      <c r="I1040" s="97" t="str">
        <f>IF(F1040&lt;&gt;"",F1040/'Project Summary'!$C$10, "")</f>
        <v/>
      </c>
      <c r="J1040" s="68"/>
      <c r="K1040" s="69"/>
      <c r="L1040" s="102"/>
      <c r="M1040" s="102"/>
      <c r="N1040" s="68"/>
      <c r="O1040" s="68"/>
      <c r="P1040" s="106"/>
      <c r="Q1040" s="107"/>
      <c r="R1040" s="107"/>
      <c r="S1040" s="107"/>
      <c r="T1040" s="107"/>
    </row>
    <row r="1041" spans="2:20" x14ac:dyDescent="0.25">
      <c r="B1041" s="68"/>
      <c r="C1041" s="68"/>
      <c r="D1041" s="68"/>
      <c r="E1041" s="68"/>
      <c r="F1041" s="68"/>
      <c r="G1041" s="95" t="str">
        <f t="shared" si="16"/>
        <v/>
      </c>
      <c r="H1041" s="91" t="str">
        <f>IF(E1041&lt;&gt;"",E1041/'Project Summary'!$C$9,"")</f>
        <v/>
      </c>
      <c r="I1041" s="97" t="str">
        <f>IF(F1041&lt;&gt;"",F1041/'Project Summary'!$C$10, "")</f>
        <v/>
      </c>
      <c r="J1041" s="68"/>
      <c r="K1041" s="69"/>
      <c r="L1041" s="102"/>
      <c r="M1041" s="102"/>
      <c r="N1041" s="68"/>
      <c r="O1041" s="68"/>
      <c r="P1041" s="106"/>
      <c r="Q1041" s="107"/>
      <c r="R1041" s="107"/>
      <c r="S1041" s="107"/>
      <c r="T1041" s="107"/>
    </row>
    <row r="1042" spans="2:20" x14ac:dyDescent="0.25">
      <c r="B1042" s="68"/>
      <c r="C1042" s="68"/>
      <c r="D1042" s="68"/>
      <c r="E1042" s="68"/>
      <c r="F1042" s="68"/>
      <c r="G1042" s="95" t="str">
        <f t="shared" si="16"/>
        <v/>
      </c>
      <c r="H1042" s="91" t="str">
        <f>IF(E1042&lt;&gt;"",E1042/'Project Summary'!$C$9,"")</f>
        <v/>
      </c>
      <c r="I1042" s="97" t="str">
        <f>IF(F1042&lt;&gt;"",F1042/'Project Summary'!$C$10, "")</f>
        <v/>
      </c>
      <c r="J1042" s="68"/>
      <c r="K1042" s="69"/>
      <c r="L1042" s="102"/>
      <c r="M1042" s="102"/>
      <c r="N1042" s="68"/>
      <c r="O1042" s="68"/>
      <c r="P1042" s="106"/>
      <c r="Q1042" s="107"/>
      <c r="R1042" s="107"/>
      <c r="S1042" s="107"/>
      <c r="T1042" s="107"/>
    </row>
    <row r="1043" spans="2:20" x14ac:dyDescent="0.25">
      <c r="B1043" s="68"/>
      <c r="C1043" s="68"/>
      <c r="D1043" s="68"/>
      <c r="E1043" s="68"/>
      <c r="F1043" s="68"/>
      <c r="G1043" s="95" t="str">
        <f t="shared" si="16"/>
        <v/>
      </c>
      <c r="H1043" s="91" t="str">
        <f>IF(E1043&lt;&gt;"",E1043/'Project Summary'!$C$9,"")</f>
        <v/>
      </c>
      <c r="I1043" s="97" t="str">
        <f>IF(F1043&lt;&gt;"",F1043/'Project Summary'!$C$10, "")</f>
        <v/>
      </c>
      <c r="J1043" s="68"/>
      <c r="K1043" s="69"/>
      <c r="L1043" s="102"/>
      <c r="M1043" s="102"/>
      <c r="N1043" s="68"/>
      <c r="O1043" s="68"/>
      <c r="P1043" s="106"/>
      <c r="Q1043" s="107"/>
      <c r="R1043" s="107"/>
      <c r="S1043" s="107"/>
      <c r="T1043" s="107"/>
    </row>
    <row r="1044" spans="2:20" x14ac:dyDescent="0.25">
      <c r="B1044" s="68"/>
      <c r="C1044" s="68"/>
      <c r="D1044" s="68"/>
      <c r="E1044" s="68"/>
      <c r="F1044" s="68"/>
      <c r="G1044" s="95" t="str">
        <f t="shared" si="16"/>
        <v/>
      </c>
      <c r="H1044" s="91" t="str">
        <f>IF(E1044&lt;&gt;"",E1044/'Project Summary'!$C$9,"")</f>
        <v/>
      </c>
      <c r="I1044" s="97" t="str">
        <f>IF(F1044&lt;&gt;"",F1044/'Project Summary'!$C$10, "")</f>
        <v/>
      </c>
      <c r="J1044" s="68"/>
      <c r="K1044" s="69"/>
      <c r="L1044" s="102"/>
      <c r="M1044" s="102"/>
      <c r="N1044" s="68"/>
      <c r="O1044" s="68"/>
      <c r="P1044" s="106"/>
      <c r="Q1044" s="107"/>
      <c r="R1044" s="107"/>
      <c r="S1044" s="107"/>
      <c r="T1044" s="107"/>
    </row>
    <row r="1045" spans="2:20" x14ac:dyDescent="0.25">
      <c r="B1045" s="68"/>
      <c r="C1045" s="68"/>
      <c r="D1045" s="68"/>
      <c r="E1045" s="68"/>
      <c r="F1045" s="68"/>
      <c r="G1045" s="95" t="str">
        <f t="shared" si="16"/>
        <v/>
      </c>
      <c r="H1045" s="91" t="str">
        <f>IF(E1045&lt;&gt;"",E1045/'Project Summary'!$C$9,"")</f>
        <v/>
      </c>
      <c r="I1045" s="97" t="str">
        <f>IF(F1045&lt;&gt;"",F1045/'Project Summary'!$C$10, "")</f>
        <v/>
      </c>
      <c r="J1045" s="68"/>
      <c r="K1045" s="69"/>
      <c r="L1045" s="102"/>
      <c r="M1045" s="102"/>
      <c r="N1045" s="68"/>
      <c r="O1045" s="68"/>
      <c r="P1045" s="106"/>
      <c r="Q1045" s="107"/>
      <c r="R1045" s="107"/>
      <c r="S1045" s="107"/>
      <c r="T1045" s="107"/>
    </row>
    <row r="1046" spans="2:20" x14ac:dyDescent="0.25">
      <c r="B1046" s="68"/>
      <c r="C1046" s="68"/>
      <c r="D1046" s="68"/>
      <c r="E1046" s="68"/>
      <c r="F1046" s="68"/>
      <c r="G1046" s="95" t="str">
        <f t="shared" si="16"/>
        <v/>
      </c>
      <c r="H1046" s="91" t="str">
        <f>IF(E1046&lt;&gt;"",E1046/'Project Summary'!$C$9,"")</f>
        <v/>
      </c>
      <c r="I1046" s="97" t="str">
        <f>IF(F1046&lt;&gt;"",F1046/'Project Summary'!$C$10, "")</f>
        <v/>
      </c>
      <c r="J1046" s="68"/>
      <c r="K1046" s="69"/>
      <c r="L1046" s="102"/>
      <c r="M1046" s="102"/>
      <c r="N1046" s="68"/>
      <c r="O1046" s="68"/>
      <c r="P1046" s="106"/>
      <c r="Q1046" s="107"/>
      <c r="R1046" s="107"/>
      <c r="S1046" s="107"/>
      <c r="T1046" s="107"/>
    </row>
    <row r="1047" spans="2:20" x14ac:dyDescent="0.25">
      <c r="B1047" s="68"/>
      <c r="C1047" s="68"/>
      <c r="D1047" s="68"/>
      <c r="E1047" s="68"/>
      <c r="F1047" s="68"/>
      <c r="G1047" s="95" t="str">
        <f t="shared" si="16"/>
        <v/>
      </c>
      <c r="H1047" s="91" t="str">
        <f>IF(E1047&lt;&gt;"",E1047/'Project Summary'!$C$9,"")</f>
        <v/>
      </c>
      <c r="I1047" s="97" t="str">
        <f>IF(F1047&lt;&gt;"",F1047/'Project Summary'!$C$10, "")</f>
        <v/>
      </c>
      <c r="J1047" s="68"/>
      <c r="K1047" s="69"/>
      <c r="L1047" s="102"/>
      <c r="M1047" s="102"/>
      <c r="N1047" s="68"/>
      <c r="O1047" s="68"/>
      <c r="P1047" s="106"/>
      <c r="Q1047" s="107"/>
      <c r="R1047" s="107"/>
      <c r="S1047" s="107"/>
      <c r="T1047" s="107"/>
    </row>
    <row r="1048" spans="2:20" x14ac:dyDescent="0.25">
      <c r="B1048" s="68"/>
      <c r="C1048" s="68"/>
      <c r="D1048" s="68"/>
      <c r="E1048" s="68"/>
      <c r="F1048" s="68"/>
      <c r="G1048" s="95" t="str">
        <f t="shared" si="16"/>
        <v/>
      </c>
      <c r="H1048" s="91" t="str">
        <f>IF(E1048&lt;&gt;"",E1048/'Project Summary'!$C$9,"")</f>
        <v/>
      </c>
      <c r="I1048" s="97" t="str">
        <f>IF(F1048&lt;&gt;"",F1048/'Project Summary'!$C$10, "")</f>
        <v/>
      </c>
      <c r="J1048" s="68"/>
      <c r="K1048" s="69"/>
      <c r="L1048" s="102"/>
      <c r="M1048" s="102"/>
      <c r="N1048" s="68"/>
      <c r="O1048" s="68"/>
      <c r="P1048" s="106"/>
      <c r="Q1048" s="107"/>
      <c r="R1048" s="107"/>
      <c r="S1048" s="107"/>
      <c r="T1048" s="107"/>
    </row>
    <row r="1049" spans="2:20" x14ac:dyDescent="0.25">
      <c r="B1049" s="68"/>
      <c r="C1049" s="68"/>
      <c r="D1049" s="68"/>
      <c r="E1049" s="68"/>
      <c r="F1049" s="68"/>
      <c r="G1049" s="95" t="str">
        <f t="shared" si="16"/>
        <v/>
      </c>
      <c r="H1049" s="91" t="str">
        <f>IF(E1049&lt;&gt;"",E1049/'Project Summary'!$C$9,"")</f>
        <v/>
      </c>
      <c r="I1049" s="97" t="str">
        <f>IF(F1049&lt;&gt;"",F1049/'Project Summary'!$C$10, "")</f>
        <v/>
      </c>
      <c r="J1049" s="68"/>
      <c r="K1049" s="69"/>
      <c r="L1049" s="102"/>
      <c r="M1049" s="102"/>
      <c r="N1049" s="68"/>
      <c r="O1049" s="68"/>
      <c r="P1049" s="106"/>
      <c r="Q1049" s="107"/>
      <c r="R1049" s="107"/>
      <c r="S1049" s="107"/>
      <c r="T1049" s="107"/>
    </row>
    <row r="1050" spans="2:20" x14ac:dyDescent="0.25">
      <c r="B1050" s="68"/>
      <c r="C1050" s="68"/>
      <c r="D1050" s="68"/>
      <c r="E1050" s="68"/>
      <c r="F1050" s="68"/>
      <c r="G1050" s="95" t="str">
        <f t="shared" si="16"/>
        <v/>
      </c>
      <c r="H1050" s="91" t="str">
        <f>IF(E1050&lt;&gt;"",E1050/'Project Summary'!$C$9,"")</f>
        <v/>
      </c>
      <c r="I1050" s="97" t="str">
        <f>IF(F1050&lt;&gt;"",F1050/'Project Summary'!$C$10, "")</f>
        <v/>
      </c>
      <c r="J1050" s="68"/>
      <c r="K1050" s="69"/>
      <c r="L1050" s="102"/>
      <c r="M1050" s="102"/>
      <c r="N1050" s="68"/>
      <c r="O1050" s="68"/>
      <c r="P1050" s="106"/>
      <c r="Q1050" s="107"/>
      <c r="R1050" s="107"/>
      <c r="S1050" s="107"/>
      <c r="T1050" s="107"/>
    </row>
    <row r="1051" spans="2:20" x14ac:dyDescent="0.25">
      <c r="B1051" s="68"/>
      <c r="C1051" s="68"/>
      <c r="D1051" s="68"/>
      <c r="E1051" s="68"/>
      <c r="F1051" s="68"/>
      <c r="G1051" s="95" t="str">
        <f t="shared" si="16"/>
        <v/>
      </c>
      <c r="H1051" s="91" t="str">
        <f>IF(E1051&lt;&gt;"",E1051/'Project Summary'!$C$9,"")</f>
        <v/>
      </c>
      <c r="I1051" s="97" t="str">
        <f>IF(F1051&lt;&gt;"",F1051/'Project Summary'!$C$10, "")</f>
        <v/>
      </c>
      <c r="J1051" s="68"/>
      <c r="K1051" s="69"/>
      <c r="L1051" s="102"/>
      <c r="M1051" s="102"/>
      <c r="N1051" s="68"/>
      <c r="O1051" s="68"/>
      <c r="P1051" s="106"/>
      <c r="Q1051" s="107"/>
      <c r="R1051" s="107"/>
      <c r="S1051" s="107"/>
      <c r="T1051" s="107"/>
    </row>
    <row r="1052" spans="2:20" x14ac:dyDescent="0.25">
      <c r="B1052" s="68"/>
      <c r="C1052" s="68"/>
      <c r="D1052" s="68"/>
      <c r="E1052" s="68"/>
      <c r="F1052" s="68"/>
      <c r="G1052" s="95" t="str">
        <f t="shared" si="16"/>
        <v/>
      </c>
      <c r="H1052" s="91" t="str">
        <f>IF(E1052&lt;&gt;"",E1052/'Project Summary'!$C$9,"")</f>
        <v/>
      </c>
      <c r="I1052" s="97" t="str">
        <f>IF(F1052&lt;&gt;"",F1052/'Project Summary'!$C$10, "")</f>
        <v/>
      </c>
      <c r="J1052" s="68"/>
      <c r="K1052" s="69"/>
      <c r="L1052" s="102"/>
      <c r="M1052" s="102"/>
      <c r="N1052" s="68"/>
      <c r="O1052" s="68"/>
      <c r="P1052" s="106"/>
      <c r="Q1052" s="107"/>
      <c r="R1052" s="107"/>
      <c r="S1052" s="107"/>
      <c r="T1052" s="107"/>
    </row>
    <row r="1053" spans="2:20" x14ac:dyDescent="0.25">
      <c r="B1053" s="68"/>
      <c r="C1053" s="68"/>
      <c r="D1053" s="68"/>
      <c r="E1053" s="68"/>
      <c r="F1053" s="68"/>
      <c r="G1053" s="95" t="str">
        <f t="shared" si="16"/>
        <v/>
      </c>
      <c r="H1053" s="91" t="str">
        <f>IF(E1053&lt;&gt;"",E1053/'Project Summary'!$C$9,"")</f>
        <v/>
      </c>
      <c r="I1053" s="97" t="str">
        <f>IF(F1053&lt;&gt;"",F1053/'Project Summary'!$C$10, "")</f>
        <v/>
      </c>
      <c r="J1053" s="68"/>
      <c r="K1053" s="69"/>
      <c r="L1053" s="102"/>
      <c r="M1053" s="102"/>
      <c r="N1053" s="68"/>
      <c r="O1053" s="68"/>
      <c r="P1053" s="106"/>
      <c r="Q1053" s="107"/>
      <c r="R1053" s="107"/>
      <c r="S1053" s="107"/>
      <c r="T1053" s="107"/>
    </row>
    <row r="1054" spans="2:20" x14ac:dyDescent="0.25">
      <c r="B1054" s="68"/>
      <c r="C1054" s="68"/>
      <c r="D1054" s="68"/>
      <c r="E1054" s="68"/>
      <c r="F1054" s="68"/>
      <c r="G1054" s="95" t="str">
        <f t="shared" si="16"/>
        <v/>
      </c>
      <c r="H1054" s="91" t="str">
        <f>IF(E1054&lt;&gt;"",E1054/'Project Summary'!$C$9,"")</f>
        <v/>
      </c>
      <c r="I1054" s="97" t="str">
        <f>IF(F1054&lt;&gt;"",F1054/'Project Summary'!$C$10, "")</f>
        <v/>
      </c>
      <c r="J1054" s="68"/>
      <c r="K1054" s="69"/>
      <c r="L1054" s="102"/>
      <c r="M1054" s="102"/>
      <c r="N1054" s="68"/>
      <c r="O1054" s="68"/>
      <c r="P1054" s="106"/>
      <c r="Q1054" s="107"/>
      <c r="R1054" s="107"/>
      <c r="S1054" s="107"/>
      <c r="T1054" s="107"/>
    </row>
    <row r="1055" spans="2:20" x14ac:dyDescent="0.25">
      <c r="B1055" s="68"/>
      <c r="C1055" s="68"/>
      <c r="D1055" s="68"/>
      <c r="E1055" s="68"/>
      <c r="F1055" s="68"/>
      <c r="G1055" s="95" t="str">
        <f t="shared" si="16"/>
        <v/>
      </c>
      <c r="H1055" s="91" t="str">
        <f>IF(E1055&lt;&gt;"",E1055/'Project Summary'!$C$9,"")</f>
        <v/>
      </c>
      <c r="I1055" s="97" t="str">
        <f>IF(F1055&lt;&gt;"",F1055/'Project Summary'!$C$10, "")</f>
        <v/>
      </c>
      <c r="J1055" s="68"/>
      <c r="K1055" s="69"/>
      <c r="L1055" s="102"/>
      <c r="M1055" s="102"/>
      <c r="N1055" s="68"/>
      <c r="O1055" s="68"/>
      <c r="P1055" s="106"/>
      <c r="Q1055" s="107"/>
      <c r="R1055" s="107"/>
      <c r="S1055" s="107"/>
      <c r="T1055" s="107"/>
    </row>
    <row r="1056" spans="2:20" x14ac:dyDescent="0.25">
      <c r="B1056" s="68"/>
      <c r="C1056" s="68"/>
      <c r="D1056" s="68"/>
      <c r="E1056" s="68"/>
      <c r="F1056" s="68"/>
      <c r="G1056" s="95" t="str">
        <f t="shared" si="16"/>
        <v/>
      </c>
      <c r="H1056" s="91" t="str">
        <f>IF(E1056&lt;&gt;"",E1056/'Project Summary'!$C$9,"")</f>
        <v/>
      </c>
      <c r="I1056" s="97" t="str">
        <f>IF(F1056&lt;&gt;"",F1056/'Project Summary'!$C$10, "")</f>
        <v/>
      </c>
      <c r="J1056" s="68"/>
      <c r="K1056" s="69"/>
      <c r="L1056" s="102"/>
      <c r="M1056" s="102"/>
      <c r="N1056" s="68"/>
      <c r="O1056" s="68"/>
      <c r="P1056" s="106"/>
      <c r="Q1056" s="107"/>
      <c r="R1056" s="107"/>
      <c r="S1056" s="107"/>
      <c r="T1056" s="107"/>
    </row>
    <row r="1057" spans="2:20" x14ac:dyDescent="0.25">
      <c r="B1057" s="68"/>
      <c r="C1057" s="68"/>
      <c r="D1057" s="68"/>
      <c r="E1057" s="68"/>
      <c r="F1057" s="68"/>
      <c r="G1057" s="95" t="str">
        <f t="shared" si="16"/>
        <v/>
      </c>
      <c r="H1057" s="91" t="str">
        <f>IF(E1057&lt;&gt;"",E1057/'Project Summary'!$C$9,"")</f>
        <v/>
      </c>
      <c r="I1057" s="97" t="str">
        <f>IF(F1057&lt;&gt;"",F1057/'Project Summary'!$C$10, "")</f>
        <v/>
      </c>
      <c r="J1057" s="68"/>
      <c r="K1057" s="69"/>
      <c r="L1057" s="102"/>
      <c r="M1057" s="102"/>
      <c r="N1057" s="68"/>
      <c r="O1057" s="68"/>
      <c r="P1057" s="106"/>
      <c r="Q1057" s="107"/>
      <c r="R1057" s="107"/>
      <c r="S1057" s="107"/>
      <c r="T1057" s="107"/>
    </row>
    <row r="1058" spans="2:20" x14ac:dyDescent="0.25">
      <c r="B1058" s="68"/>
      <c r="C1058" s="68"/>
      <c r="D1058" s="68"/>
      <c r="E1058" s="68"/>
      <c r="F1058" s="68"/>
      <c r="G1058" s="95" t="str">
        <f t="shared" si="16"/>
        <v/>
      </c>
      <c r="H1058" s="91" t="str">
        <f>IF(E1058&lt;&gt;"",E1058/'Project Summary'!$C$9,"")</f>
        <v/>
      </c>
      <c r="I1058" s="97" t="str">
        <f>IF(F1058&lt;&gt;"",F1058/'Project Summary'!$C$10, "")</f>
        <v/>
      </c>
      <c r="J1058" s="68"/>
      <c r="K1058" s="69"/>
      <c r="L1058" s="102"/>
      <c r="M1058" s="102"/>
      <c r="N1058" s="68"/>
      <c r="O1058" s="68"/>
      <c r="P1058" s="106"/>
      <c r="Q1058" s="107"/>
      <c r="R1058" s="107"/>
      <c r="S1058" s="107"/>
      <c r="T1058" s="107"/>
    </row>
    <row r="1059" spans="2:20" x14ac:dyDescent="0.25">
      <c r="B1059" s="68"/>
      <c r="C1059" s="68"/>
      <c r="D1059" s="68"/>
      <c r="E1059" s="68"/>
      <c r="F1059" s="68"/>
      <c r="G1059" s="95" t="str">
        <f t="shared" si="16"/>
        <v/>
      </c>
      <c r="H1059" s="91" t="str">
        <f>IF(E1059&lt;&gt;"",E1059/'Project Summary'!$C$9,"")</f>
        <v/>
      </c>
      <c r="I1059" s="97" t="str">
        <f>IF(F1059&lt;&gt;"",F1059/'Project Summary'!$C$10, "")</f>
        <v/>
      </c>
      <c r="J1059" s="68"/>
      <c r="K1059" s="69"/>
      <c r="L1059" s="102"/>
      <c r="M1059" s="102"/>
      <c r="N1059" s="68"/>
      <c r="O1059" s="68"/>
      <c r="P1059" s="106"/>
      <c r="Q1059" s="107"/>
      <c r="R1059" s="107"/>
      <c r="S1059" s="107"/>
      <c r="T1059" s="107"/>
    </row>
    <row r="1060" spans="2:20" x14ac:dyDescent="0.25">
      <c r="B1060" s="68"/>
      <c r="C1060" s="68"/>
      <c r="D1060" s="68"/>
      <c r="E1060" s="68"/>
      <c r="F1060" s="68"/>
      <c r="G1060" s="95" t="str">
        <f t="shared" si="16"/>
        <v/>
      </c>
      <c r="H1060" s="91" t="str">
        <f>IF(E1060&lt;&gt;"",E1060/'Project Summary'!$C$9,"")</f>
        <v/>
      </c>
      <c r="I1060" s="97" t="str">
        <f>IF(F1060&lt;&gt;"",F1060/'Project Summary'!$C$10, "")</f>
        <v/>
      </c>
      <c r="J1060" s="68"/>
      <c r="K1060" s="69"/>
      <c r="L1060" s="102"/>
      <c r="M1060" s="102"/>
      <c r="N1060" s="68"/>
      <c r="O1060" s="68"/>
      <c r="P1060" s="106"/>
      <c r="Q1060" s="107"/>
      <c r="R1060" s="107"/>
      <c r="S1060" s="107"/>
      <c r="T1060" s="107"/>
    </row>
    <row r="1061" spans="2:20" x14ac:dyDescent="0.25">
      <c r="B1061" s="68"/>
      <c r="C1061" s="68"/>
      <c r="D1061" s="68"/>
      <c r="E1061" s="68"/>
      <c r="F1061" s="68"/>
      <c r="G1061" s="95" t="str">
        <f t="shared" si="16"/>
        <v/>
      </c>
      <c r="H1061" s="91" t="str">
        <f>IF(E1061&lt;&gt;"",E1061/'Project Summary'!$C$9,"")</f>
        <v/>
      </c>
      <c r="I1061" s="97" t="str">
        <f>IF(F1061&lt;&gt;"",F1061/'Project Summary'!$C$10, "")</f>
        <v/>
      </c>
      <c r="J1061" s="68"/>
      <c r="K1061" s="69"/>
      <c r="L1061" s="102"/>
      <c r="M1061" s="102"/>
      <c r="N1061" s="68"/>
      <c r="O1061" s="68"/>
      <c r="P1061" s="106"/>
      <c r="Q1061" s="107"/>
      <c r="R1061" s="107"/>
      <c r="S1061" s="107"/>
      <c r="T1061" s="107"/>
    </row>
    <row r="1062" spans="2:20" x14ac:dyDescent="0.25">
      <c r="B1062" s="68"/>
      <c r="C1062" s="68"/>
      <c r="D1062" s="68"/>
      <c r="E1062" s="68"/>
      <c r="F1062" s="68"/>
      <c r="G1062" s="95" t="str">
        <f t="shared" si="16"/>
        <v/>
      </c>
      <c r="H1062" s="91" t="str">
        <f>IF(E1062&lt;&gt;"",E1062/'Project Summary'!$C$9,"")</f>
        <v/>
      </c>
      <c r="I1062" s="97" t="str">
        <f>IF(F1062&lt;&gt;"",F1062/'Project Summary'!$C$10, "")</f>
        <v/>
      </c>
      <c r="J1062" s="68"/>
      <c r="K1062" s="69"/>
      <c r="L1062" s="102"/>
      <c r="M1062" s="102"/>
      <c r="N1062" s="68"/>
      <c r="O1062" s="68"/>
      <c r="P1062" s="106"/>
      <c r="Q1062" s="107"/>
      <c r="R1062" s="107"/>
      <c r="S1062" s="107"/>
      <c r="T1062" s="107"/>
    </row>
    <row r="1063" spans="2:20" x14ac:dyDescent="0.25">
      <c r="B1063" s="68"/>
      <c r="C1063" s="68"/>
      <c r="D1063" s="68"/>
      <c r="E1063" s="68"/>
      <c r="F1063" s="68"/>
      <c r="G1063" s="95" t="str">
        <f t="shared" si="16"/>
        <v/>
      </c>
      <c r="H1063" s="91" t="str">
        <f>IF(E1063&lt;&gt;"",E1063/'Project Summary'!$C$9,"")</f>
        <v/>
      </c>
      <c r="I1063" s="97" t="str">
        <f>IF(F1063&lt;&gt;"",F1063/'Project Summary'!$C$10, "")</f>
        <v/>
      </c>
      <c r="J1063" s="68"/>
      <c r="K1063" s="69"/>
      <c r="L1063" s="102"/>
      <c r="M1063" s="102"/>
      <c r="N1063" s="68"/>
      <c r="O1063" s="68"/>
      <c r="P1063" s="106"/>
      <c r="Q1063" s="107"/>
      <c r="R1063" s="107"/>
      <c r="S1063" s="107"/>
      <c r="T1063" s="107"/>
    </row>
    <row r="1064" spans="2:20" x14ac:dyDescent="0.25">
      <c r="B1064" s="68"/>
      <c r="C1064" s="68"/>
      <c r="D1064" s="68"/>
      <c r="E1064" s="68"/>
      <c r="F1064" s="68"/>
      <c r="G1064" s="95" t="str">
        <f t="shared" si="16"/>
        <v/>
      </c>
      <c r="H1064" s="91" t="str">
        <f>IF(E1064&lt;&gt;"",E1064/'Project Summary'!$C$9,"")</f>
        <v/>
      </c>
      <c r="I1064" s="97" t="str">
        <f>IF(F1064&lt;&gt;"",F1064/'Project Summary'!$C$10, "")</f>
        <v/>
      </c>
      <c r="J1064" s="68"/>
      <c r="K1064" s="69"/>
      <c r="L1064" s="102"/>
      <c r="M1064" s="102"/>
      <c r="N1064" s="68"/>
      <c r="O1064" s="68"/>
      <c r="P1064" s="106"/>
      <c r="Q1064" s="107"/>
      <c r="R1064" s="107"/>
      <c r="S1064" s="107"/>
      <c r="T1064" s="107"/>
    </row>
    <row r="1065" spans="2:20" x14ac:dyDescent="0.25">
      <c r="B1065" s="68"/>
      <c r="C1065" s="68"/>
      <c r="D1065" s="68"/>
      <c r="E1065" s="68"/>
      <c r="F1065" s="68"/>
      <c r="G1065" s="95" t="str">
        <f t="shared" si="16"/>
        <v/>
      </c>
      <c r="H1065" s="91" t="str">
        <f>IF(E1065&lt;&gt;"",E1065/'Project Summary'!$C$9,"")</f>
        <v/>
      </c>
      <c r="I1065" s="97" t="str">
        <f>IF(F1065&lt;&gt;"",F1065/'Project Summary'!$C$10, "")</f>
        <v/>
      </c>
      <c r="J1065" s="68"/>
      <c r="K1065" s="69"/>
      <c r="L1065" s="102"/>
      <c r="M1065" s="102"/>
      <c r="N1065" s="68"/>
      <c r="O1065" s="68"/>
      <c r="P1065" s="106"/>
      <c r="Q1065" s="107"/>
      <c r="R1065" s="107"/>
      <c r="S1065" s="107"/>
      <c r="T1065" s="107"/>
    </row>
    <row r="1066" spans="2:20" x14ac:dyDescent="0.25">
      <c r="B1066" s="68"/>
      <c r="C1066" s="68"/>
      <c r="D1066" s="68"/>
      <c r="E1066" s="68"/>
      <c r="F1066" s="68"/>
      <c r="G1066" s="95" t="str">
        <f t="shared" si="16"/>
        <v/>
      </c>
      <c r="H1066" s="91" t="str">
        <f>IF(E1066&lt;&gt;"",E1066/'Project Summary'!$C$9,"")</f>
        <v/>
      </c>
      <c r="I1066" s="97" t="str">
        <f>IF(F1066&lt;&gt;"",F1066/'Project Summary'!$C$10, "")</f>
        <v/>
      </c>
      <c r="J1066" s="68"/>
      <c r="K1066" s="69"/>
      <c r="L1066" s="102"/>
      <c r="M1066" s="102"/>
      <c r="N1066" s="68"/>
      <c r="O1066" s="68"/>
      <c r="P1066" s="106"/>
      <c r="Q1066" s="107"/>
      <c r="R1066" s="107"/>
      <c r="S1066" s="107"/>
      <c r="T1066" s="107"/>
    </row>
    <row r="1067" spans="2:20" x14ac:dyDescent="0.25">
      <c r="B1067" s="68"/>
      <c r="C1067" s="68"/>
      <c r="D1067" s="68"/>
      <c r="E1067" s="68"/>
      <c r="F1067" s="68"/>
      <c r="G1067" s="95" t="str">
        <f t="shared" si="16"/>
        <v/>
      </c>
      <c r="H1067" s="91" t="str">
        <f>IF(E1067&lt;&gt;"",E1067/'Project Summary'!$C$9,"")</f>
        <v/>
      </c>
      <c r="I1067" s="97" t="str">
        <f>IF(F1067&lt;&gt;"",F1067/'Project Summary'!$C$10, "")</f>
        <v/>
      </c>
      <c r="J1067" s="68"/>
      <c r="K1067" s="69"/>
      <c r="L1067" s="102"/>
      <c r="M1067" s="102"/>
      <c r="N1067" s="68"/>
      <c r="O1067" s="68"/>
      <c r="P1067" s="106"/>
      <c r="Q1067" s="107"/>
      <c r="R1067" s="107"/>
      <c r="S1067" s="107"/>
      <c r="T1067" s="107"/>
    </row>
    <row r="1068" spans="2:20" x14ac:dyDescent="0.25">
      <c r="B1068" s="68"/>
      <c r="C1068" s="68"/>
      <c r="D1068" s="68"/>
      <c r="E1068" s="68"/>
      <c r="F1068" s="68"/>
      <c r="G1068" s="95" t="str">
        <f t="shared" si="16"/>
        <v/>
      </c>
      <c r="H1068" s="91" t="str">
        <f>IF(E1068&lt;&gt;"",E1068/'Project Summary'!$C$9,"")</f>
        <v/>
      </c>
      <c r="I1068" s="97" t="str">
        <f>IF(F1068&lt;&gt;"",F1068/'Project Summary'!$C$10, "")</f>
        <v/>
      </c>
      <c r="J1068" s="68"/>
      <c r="K1068" s="69"/>
      <c r="L1068" s="102"/>
      <c r="M1068" s="102"/>
      <c r="N1068" s="68"/>
      <c r="O1068" s="68"/>
      <c r="P1068" s="106"/>
      <c r="Q1068" s="107"/>
      <c r="R1068" s="107"/>
      <c r="S1068" s="107"/>
      <c r="T1068" s="107"/>
    </row>
    <row r="1069" spans="2:20" x14ac:dyDescent="0.25">
      <c r="B1069" s="68"/>
      <c r="C1069" s="68"/>
      <c r="D1069" s="68"/>
      <c r="E1069" s="68"/>
      <c r="F1069" s="68"/>
      <c r="G1069" s="95" t="str">
        <f t="shared" si="16"/>
        <v/>
      </c>
      <c r="H1069" s="91" t="str">
        <f>IF(E1069&lt;&gt;"",E1069/'Project Summary'!$C$9,"")</f>
        <v/>
      </c>
      <c r="I1069" s="97" t="str">
        <f>IF(F1069&lt;&gt;"",F1069/'Project Summary'!$C$10, "")</f>
        <v/>
      </c>
      <c r="J1069" s="68"/>
      <c r="K1069" s="69"/>
      <c r="L1069" s="102"/>
      <c r="M1069" s="102"/>
      <c r="N1069" s="68"/>
      <c r="O1069" s="68"/>
      <c r="P1069" s="106"/>
      <c r="Q1069" s="107"/>
      <c r="R1069" s="107"/>
      <c r="S1069" s="107"/>
      <c r="T1069" s="107"/>
    </row>
    <row r="1070" spans="2:20" x14ac:dyDescent="0.25">
      <c r="B1070" s="68"/>
      <c r="C1070" s="68"/>
      <c r="D1070" s="68"/>
      <c r="E1070" s="68"/>
      <c r="F1070" s="68"/>
      <c r="G1070" s="95" t="str">
        <f t="shared" si="16"/>
        <v/>
      </c>
      <c r="H1070" s="91" t="str">
        <f>IF(E1070&lt;&gt;"",E1070/'Project Summary'!$C$9,"")</f>
        <v/>
      </c>
      <c r="I1070" s="97" t="str">
        <f>IF(F1070&lt;&gt;"",F1070/'Project Summary'!$C$10, "")</f>
        <v/>
      </c>
      <c r="J1070" s="68"/>
      <c r="K1070" s="69"/>
      <c r="L1070" s="102"/>
      <c r="M1070" s="102"/>
      <c r="N1070" s="68"/>
      <c r="O1070" s="68"/>
      <c r="P1070" s="106"/>
      <c r="Q1070" s="107"/>
      <c r="R1070" s="107"/>
      <c r="S1070" s="107"/>
      <c r="T1070" s="107"/>
    </row>
    <row r="1071" spans="2:20" x14ac:dyDescent="0.25">
      <c r="B1071" s="68"/>
      <c r="C1071" s="68"/>
      <c r="D1071" s="68"/>
      <c r="E1071" s="68"/>
      <c r="F1071" s="68"/>
      <c r="G1071" s="95" t="str">
        <f t="shared" si="16"/>
        <v/>
      </c>
      <c r="H1071" s="91" t="str">
        <f>IF(E1071&lt;&gt;"",E1071/'Project Summary'!$C$9,"")</f>
        <v/>
      </c>
      <c r="I1071" s="97" t="str">
        <f>IF(F1071&lt;&gt;"",F1071/'Project Summary'!$C$10, "")</f>
        <v/>
      </c>
      <c r="J1071" s="68"/>
      <c r="K1071" s="69"/>
      <c r="L1071" s="102"/>
      <c r="M1071" s="102"/>
      <c r="N1071" s="68"/>
      <c r="O1071" s="68"/>
      <c r="P1071" s="106"/>
      <c r="Q1071" s="107"/>
      <c r="R1071" s="107"/>
      <c r="S1071" s="107"/>
      <c r="T1071" s="107"/>
    </row>
    <row r="1072" spans="2:20" x14ac:dyDescent="0.25">
      <c r="B1072" s="68"/>
      <c r="C1072" s="68"/>
      <c r="D1072" s="68"/>
      <c r="E1072" s="68"/>
      <c r="F1072" s="68"/>
      <c r="G1072" s="95" t="str">
        <f t="shared" si="16"/>
        <v/>
      </c>
      <c r="H1072" s="91" t="str">
        <f>IF(E1072&lt;&gt;"",E1072/'Project Summary'!$C$9,"")</f>
        <v/>
      </c>
      <c r="I1072" s="97" t="str">
        <f>IF(F1072&lt;&gt;"",F1072/'Project Summary'!$C$10, "")</f>
        <v/>
      </c>
      <c r="J1072" s="68"/>
      <c r="K1072" s="69"/>
      <c r="L1072" s="102"/>
      <c r="M1072" s="102"/>
      <c r="N1072" s="68"/>
      <c r="O1072" s="68"/>
      <c r="P1072" s="106"/>
      <c r="Q1072" s="107"/>
      <c r="R1072" s="107"/>
      <c r="S1072" s="107"/>
      <c r="T1072" s="107"/>
    </row>
    <row r="1073" spans="2:20" x14ac:dyDescent="0.25">
      <c r="B1073" s="68"/>
      <c r="C1073" s="68"/>
      <c r="D1073" s="68"/>
      <c r="E1073" s="68"/>
      <c r="F1073" s="68"/>
      <c r="G1073" s="95" t="str">
        <f t="shared" si="16"/>
        <v/>
      </c>
      <c r="H1073" s="91" t="str">
        <f>IF(E1073&lt;&gt;"",E1073/'Project Summary'!$C$9,"")</f>
        <v/>
      </c>
      <c r="I1073" s="97" t="str">
        <f>IF(F1073&lt;&gt;"",F1073/'Project Summary'!$C$10, "")</f>
        <v/>
      </c>
      <c r="J1073" s="68"/>
      <c r="K1073" s="69"/>
      <c r="L1073" s="102"/>
      <c r="M1073" s="102"/>
      <c r="N1073" s="68"/>
      <c r="O1073" s="68"/>
      <c r="P1073" s="106"/>
      <c r="Q1073" s="107"/>
      <c r="R1073" s="107"/>
      <c r="S1073" s="107"/>
      <c r="T1073" s="107"/>
    </row>
    <row r="1074" spans="2:20" x14ac:dyDescent="0.25">
      <c r="B1074" s="68"/>
      <c r="C1074" s="68"/>
      <c r="D1074" s="68"/>
      <c r="E1074" s="68"/>
      <c r="F1074" s="68"/>
      <c r="G1074" s="95" t="str">
        <f t="shared" si="16"/>
        <v/>
      </c>
      <c r="H1074" s="91" t="str">
        <f>IF(E1074&lt;&gt;"",E1074/'Project Summary'!$C$9,"")</f>
        <v/>
      </c>
      <c r="I1074" s="97" t="str">
        <f>IF(F1074&lt;&gt;"",F1074/'Project Summary'!$C$10, "")</f>
        <v/>
      </c>
      <c r="J1074" s="68"/>
      <c r="K1074" s="69"/>
      <c r="L1074" s="102"/>
      <c r="M1074" s="102"/>
      <c r="N1074" s="68"/>
      <c r="O1074" s="68"/>
      <c r="P1074" s="106"/>
      <c r="Q1074" s="107"/>
      <c r="R1074" s="107"/>
      <c r="S1074" s="107"/>
      <c r="T1074" s="107"/>
    </row>
    <row r="1075" spans="2:20" x14ac:dyDescent="0.25">
      <c r="B1075" s="68"/>
      <c r="C1075" s="68"/>
      <c r="D1075" s="68"/>
      <c r="E1075" s="68"/>
      <c r="F1075" s="68"/>
      <c r="G1075" s="95" t="str">
        <f t="shared" si="16"/>
        <v/>
      </c>
      <c r="H1075" s="91" t="str">
        <f>IF(E1075&lt;&gt;"",E1075/'Project Summary'!$C$9,"")</f>
        <v/>
      </c>
      <c r="I1075" s="97" t="str">
        <f>IF(F1075&lt;&gt;"",F1075/'Project Summary'!$C$10, "")</f>
        <v/>
      </c>
      <c r="J1075" s="68"/>
      <c r="K1075" s="69"/>
      <c r="L1075" s="102"/>
      <c r="M1075" s="102"/>
      <c r="N1075" s="68"/>
      <c r="O1075" s="68"/>
      <c r="P1075" s="106"/>
      <c r="Q1075" s="107"/>
      <c r="R1075" s="107"/>
      <c r="S1075" s="107"/>
      <c r="T1075" s="107"/>
    </row>
    <row r="1076" spans="2:20" x14ac:dyDescent="0.25">
      <c r="B1076" s="68"/>
      <c r="C1076" s="68"/>
      <c r="D1076" s="68"/>
      <c r="E1076" s="68"/>
      <c r="F1076" s="68"/>
      <c r="G1076" s="95" t="str">
        <f t="shared" si="16"/>
        <v/>
      </c>
      <c r="H1076" s="91" t="str">
        <f>IF(E1076&lt;&gt;"",E1076/'Project Summary'!$C$9,"")</f>
        <v/>
      </c>
      <c r="I1076" s="97" t="str">
        <f>IF(F1076&lt;&gt;"",F1076/'Project Summary'!$C$10, "")</f>
        <v/>
      </c>
      <c r="J1076" s="68"/>
      <c r="K1076" s="69"/>
      <c r="L1076" s="102"/>
      <c r="M1076" s="102"/>
      <c r="N1076" s="68"/>
      <c r="O1076" s="68"/>
      <c r="P1076" s="106"/>
      <c r="Q1076" s="107"/>
      <c r="R1076" s="107"/>
      <c r="S1076" s="107"/>
      <c r="T1076" s="107"/>
    </row>
    <row r="1077" spans="2:20" x14ac:dyDescent="0.25">
      <c r="B1077" s="68"/>
      <c r="C1077" s="68"/>
      <c r="D1077" s="68"/>
      <c r="E1077" s="68"/>
      <c r="F1077" s="68"/>
      <c r="G1077" s="95" t="str">
        <f t="shared" si="16"/>
        <v/>
      </c>
      <c r="H1077" s="91" t="str">
        <f>IF(E1077&lt;&gt;"",E1077/'Project Summary'!$C$9,"")</f>
        <v/>
      </c>
      <c r="I1077" s="97" t="str">
        <f>IF(F1077&lt;&gt;"",F1077/'Project Summary'!$C$10, "")</f>
        <v/>
      </c>
      <c r="J1077" s="68"/>
      <c r="K1077" s="69"/>
      <c r="L1077" s="102"/>
      <c r="M1077" s="102"/>
      <c r="N1077" s="68"/>
      <c r="O1077" s="68"/>
      <c r="P1077" s="106"/>
      <c r="Q1077" s="107"/>
      <c r="R1077" s="107"/>
      <c r="S1077" s="107"/>
      <c r="T1077" s="107"/>
    </row>
    <row r="1078" spans="2:20" x14ac:dyDescent="0.25">
      <c r="B1078" s="68"/>
      <c r="C1078" s="68"/>
      <c r="D1078" s="68"/>
      <c r="E1078" s="68"/>
      <c r="F1078" s="68"/>
      <c r="G1078" s="95" t="str">
        <f t="shared" si="16"/>
        <v/>
      </c>
      <c r="H1078" s="91" t="str">
        <f>IF(E1078&lt;&gt;"",E1078/'Project Summary'!$C$9,"")</f>
        <v/>
      </c>
      <c r="I1078" s="97" t="str">
        <f>IF(F1078&lt;&gt;"",F1078/'Project Summary'!$C$10, "")</f>
        <v/>
      </c>
      <c r="J1078" s="68"/>
      <c r="K1078" s="69"/>
      <c r="L1078" s="102"/>
      <c r="M1078" s="102"/>
      <c r="N1078" s="68"/>
      <c r="O1078" s="68"/>
      <c r="P1078" s="106"/>
      <c r="Q1078" s="107"/>
      <c r="R1078" s="107"/>
      <c r="S1078" s="107"/>
      <c r="T1078" s="107"/>
    </row>
    <row r="1079" spans="2:20" x14ac:dyDescent="0.25">
      <c r="B1079" s="68"/>
      <c r="C1079" s="68"/>
      <c r="D1079" s="68"/>
      <c r="E1079" s="68"/>
      <c r="F1079" s="68"/>
      <c r="G1079" s="95" t="str">
        <f t="shared" si="16"/>
        <v/>
      </c>
      <c r="H1079" s="91" t="str">
        <f>IF(E1079&lt;&gt;"",E1079/'Project Summary'!$C$9,"")</f>
        <v/>
      </c>
      <c r="I1079" s="97" t="str">
        <f>IF(F1079&lt;&gt;"",F1079/'Project Summary'!$C$10, "")</f>
        <v/>
      </c>
      <c r="J1079" s="68"/>
      <c r="K1079" s="69"/>
      <c r="L1079" s="102"/>
      <c r="M1079" s="102"/>
      <c r="N1079" s="68"/>
      <c r="O1079" s="68"/>
      <c r="P1079" s="106"/>
      <c r="Q1079" s="107"/>
      <c r="R1079" s="107"/>
      <c r="S1079" s="107"/>
      <c r="T1079" s="107"/>
    </row>
    <row r="1080" spans="2:20" x14ac:dyDescent="0.25">
      <c r="B1080" s="68"/>
      <c r="C1080" s="68"/>
      <c r="D1080" s="68"/>
      <c r="E1080" s="68"/>
      <c r="F1080" s="68"/>
      <c r="G1080" s="95" t="str">
        <f t="shared" si="16"/>
        <v/>
      </c>
      <c r="H1080" s="91" t="str">
        <f>IF(E1080&lt;&gt;"",E1080/'Project Summary'!$C$9,"")</f>
        <v/>
      </c>
      <c r="I1080" s="97" t="str">
        <f>IF(F1080&lt;&gt;"",F1080/'Project Summary'!$C$10, "")</f>
        <v/>
      </c>
      <c r="J1080" s="68"/>
      <c r="K1080" s="69"/>
      <c r="L1080" s="102"/>
      <c r="M1080" s="102"/>
      <c r="N1080" s="68"/>
      <c r="O1080" s="68"/>
      <c r="P1080" s="106"/>
      <c r="Q1080" s="107"/>
      <c r="R1080" s="107"/>
      <c r="S1080" s="107"/>
      <c r="T1080" s="107"/>
    </row>
    <row r="1081" spans="2:20" x14ac:dyDescent="0.25">
      <c r="B1081" s="68"/>
      <c r="C1081" s="68"/>
      <c r="D1081" s="68"/>
      <c r="E1081" s="68"/>
      <c r="F1081" s="68"/>
      <c r="G1081" s="95" t="str">
        <f t="shared" si="16"/>
        <v/>
      </c>
      <c r="H1081" s="91" t="str">
        <f>IF(E1081&lt;&gt;"",E1081/'Project Summary'!$C$9,"")</f>
        <v/>
      </c>
      <c r="I1081" s="97" t="str">
        <f>IF(F1081&lt;&gt;"",F1081/'Project Summary'!$C$10, "")</f>
        <v/>
      </c>
      <c r="J1081" s="68"/>
      <c r="K1081" s="69"/>
      <c r="L1081" s="102"/>
      <c r="M1081" s="102"/>
      <c r="N1081" s="68"/>
      <c r="O1081" s="68"/>
      <c r="P1081" s="106"/>
      <c r="Q1081" s="107"/>
      <c r="R1081" s="107"/>
      <c r="S1081" s="107"/>
      <c r="T1081" s="107"/>
    </row>
    <row r="1082" spans="2:20" x14ac:dyDescent="0.25">
      <c r="B1082" s="68"/>
      <c r="C1082" s="68"/>
      <c r="D1082" s="68"/>
      <c r="E1082" s="68"/>
      <c r="F1082" s="68"/>
      <c r="G1082" s="95" t="str">
        <f t="shared" si="16"/>
        <v/>
      </c>
      <c r="H1082" s="91" t="str">
        <f>IF(E1082&lt;&gt;"",E1082/'Project Summary'!$C$9,"")</f>
        <v/>
      </c>
      <c r="I1082" s="97" t="str">
        <f>IF(F1082&lt;&gt;"",F1082/'Project Summary'!$C$10, "")</f>
        <v/>
      </c>
      <c r="J1082" s="68"/>
      <c r="K1082" s="69"/>
      <c r="L1082" s="102"/>
      <c r="M1082" s="102"/>
      <c r="N1082" s="68"/>
      <c r="O1082" s="68"/>
      <c r="P1082" s="106"/>
      <c r="Q1082" s="107"/>
      <c r="R1082" s="107"/>
      <c r="S1082" s="107"/>
      <c r="T1082" s="107"/>
    </row>
    <row r="1083" spans="2:20" x14ac:dyDescent="0.25">
      <c r="B1083" s="68"/>
      <c r="C1083" s="68"/>
      <c r="D1083" s="68"/>
      <c r="E1083" s="68"/>
      <c r="F1083" s="68"/>
      <c r="G1083" s="95" t="str">
        <f t="shared" si="16"/>
        <v/>
      </c>
      <c r="H1083" s="91" t="str">
        <f>IF(E1083&lt;&gt;"",E1083/'Project Summary'!$C$9,"")</f>
        <v/>
      </c>
      <c r="I1083" s="97" t="str">
        <f>IF(F1083&lt;&gt;"",F1083/'Project Summary'!$C$10, "")</f>
        <v/>
      </c>
      <c r="J1083" s="68"/>
      <c r="K1083" s="69"/>
      <c r="L1083" s="102"/>
      <c r="M1083" s="102"/>
      <c r="N1083" s="68"/>
      <c r="O1083" s="68"/>
      <c r="P1083" s="106"/>
      <c r="Q1083" s="107"/>
      <c r="R1083" s="107"/>
      <c r="S1083" s="107"/>
      <c r="T1083" s="107"/>
    </row>
    <row r="1084" spans="2:20" x14ac:dyDescent="0.25">
      <c r="B1084" s="68"/>
      <c r="C1084" s="68"/>
      <c r="D1084" s="68"/>
      <c r="E1084" s="68"/>
      <c r="F1084" s="68"/>
      <c r="G1084" s="95" t="str">
        <f t="shared" si="16"/>
        <v/>
      </c>
      <c r="H1084" s="91" t="str">
        <f>IF(E1084&lt;&gt;"",E1084/'Project Summary'!$C$9,"")</f>
        <v/>
      </c>
      <c r="I1084" s="97" t="str">
        <f>IF(F1084&lt;&gt;"",F1084/'Project Summary'!$C$10, "")</f>
        <v/>
      </c>
      <c r="J1084" s="68"/>
      <c r="K1084" s="69"/>
      <c r="L1084" s="102"/>
      <c r="M1084" s="102"/>
      <c r="N1084" s="68"/>
      <c r="O1084" s="68"/>
      <c r="P1084" s="106"/>
      <c r="Q1084" s="107"/>
      <c r="R1084" s="107"/>
      <c r="S1084" s="107"/>
      <c r="T1084" s="107"/>
    </row>
    <row r="1085" spans="2:20" x14ac:dyDescent="0.25">
      <c r="B1085" s="68"/>
      <c r="C1085" s="68"/>
      <c r="D1085" s="68"/>
      <c r="E1085" s="68"/>
      <c r="F1085" s="68"/>
      <c r="G1085" s="95" t="str">
        <f t="shared" si="16"/>
        <v/>
      </c>
      <c r="H1085" s="91" t="str">
        <f>IF(E1085&lt;&gt;"",E1085/'Project Summary'!$C$9,"")</f>
        <v/>
      </c>
      <c r="I1085" s="97" t="str">
        <f>IF(F1085&lt;&gt;"",F1085/'Project Summary'!$C$10, "")</f>
        <v/>
      </c>
      <c r="J1085" s="68"/>
      <c r="K1085" s="69"/>
      <c r="L1085" s="102"/>
      <c r="M1085" s="102"/>
      <c r="N1085" s="68"/>
      <c r="O1085" s="68"/>
      <c r="P1085" s="106"/>
      <c r="Q1085" s="107"/>
      <c r="R1085" s="107"/>
      <c r="S1085" s="107"/>
      <c r="T1085" s="107"/>
    </row>
    <row r="1086" spans="2:20" x14ac:dyDescent="0.25">
      <c r="B1086" s="68"/>
      <c r="C1086" s="68"/>
      <c r="D1086" s="68"/>
      <c r="E1086" s="68"/>
      <c r="F1086" s="68"/>
      <c r="G1086" s="95" t="str">
        <f t="shared" si="16"/>
        <v/>
      </c>
      <c r="H1086" s="91" t="str">
        <f>IF(E1086&lt;&gt;"",E1086/'Project Summary'!$C$9,"")</f>
        <v/>
      </c>
      <c r="I1086" s="97" t="str">
        <f>IF(F1086&lt;&gt;"",F1086/'Project Summary'!$C$10, "")</f>
        <v/>
      </c>
      <c r="J1086" s="68"/>
      <c r="K1086" s="69"/>
      <c r="L1086" s="102"/>
      <c r="M1086" s="102"/>
      <c r="N1086" s="68"/>
      <c r="O1086" s="68"/>
      <c r="P1086" s="106"/>
      <c r="Q1086" s="107"/>
      <c r="R1086" s="107"/>
      <c r="S1086" s="107"/>
      <c r="T1086" s="107"/>
    </row>
    <row r="1087" spans="2:20" x14ac:dyDescent="0.25">
      <c r="B1087" s="68"/>
      <c r="C1087" s="68"/>
      <c r="D1087" s="68"/>
      <c r="E1087" s="68"/>
      <c r="F1087" s="68"/>
      <c r="G1087" s="95" t="str">
        <f t="shared" si="16"/>
        <v/>
      </c>
      <c r="H1087" s="91" t="str">
        <f>IF(E1087&lt;&gt;"",E1087/'Project Summary'!$C$9,"")</f>
        <v/>
      </c>
      <c r="I1087" s="97" t="str">
        <f>IF(F1087&lt;&gt;"",F1087/'Project Summary'!$C$10, "")</f>
        <v/>
      </c>
      <c r="J1087" s="68"/>
      <c r="K1087" s="69"/>
      <c r="L1087" s="102"/>
      <c r="M1087" s="102"/>
      <c r="N1087" s="68"/>
      <c r="O1087" s="68"/>
      <c r="P1087" s="106"/>
      <c r="Q1087" s="107"/>
      <c r="R1087" s="107"/>
      <c r="S1087" s="107"/>
      <c r="T1087" s="107"/>
    </row>
    <row r="1088" spans="2:20" x14ac:dyDescent="0.25">
      <c r="B1088" s="68"/>
      <c r="C1088" s="68"/>
      <c r="D1088" s="68"/>
      <c r="E1088" s="68"/>
      <c r="F1088" s="68"/>
      <c r="G1088" s="95" t="str">
        <f t="shared" si="16"/>
        <v/>
      </c>
      <c r="H1088" s="91" t="str">
        <f>IF(E1088&lt;&gt;"",E1088/'Project Summary'!$C$9,"")</f>
        <v/>
      </c>
      <c r="I1088" s="97" t="str">
        <f>IF(F1088&lt;&gt;"",F1088/'Project Summary'!$C$10, "")</f>
        <v/>
      </c>
      <c r="J1088" s="68"/>
      <c r="K1088" s="69"/>
      <c r="L1088" s="102"/>
      <c r="M1088" s="102"/>
      <c r="N1088" s="68"/>
      <c r="O1088" s="68"/>
      <c r="P1088" s="106"/>
      <c r="Q1088" s="107"/>
      <c r="R1088" s="107"/>
      <c r="S1088" s="107"/>
      <c r="T1088" s="107"/>
    </row>
    <row r="1089" spans="2:20" x14ac:dyDescent="0.25">
      <c r="B1089" s="68"/>
      <c r="C1089" s="68"/>
      <c r="D1089" s="68"/>
      <c r="E1089" s="68"/>
      <c r="F1089" s="68"/>
      <c r="G1089" s="95" t="str">
        <f t="shared" si="16"/>
        <v/>
      </c>
      <c r="H1089" s="91" t="str">
        <f>IF(E1089&lt;&gt;"",E1089/'Project Summary'!$C$9,"")</f>
        <v/>
      </c>
      <c r="I1089" s="97" t="str">
        <f>IF(F1089&lt;&gt;"",F1089/'Project Summary'!$C$10, "")</f>
        <v/>
      </c>
      <c r="J1089" s="68"/>
      <c r="K1089" s="69"/>
      <c r="L1089" s="102"/>
      <c r="M1089" s="102"/>
      <c r="N1089" s="68"/>
      <c r="O1089" s="68"/>
      <c r="P1089" s="106"/>
      <c r="Q1089" s="107"/>
      <c r="R1089" s="107"/>
      <c r="S1089" s="107"/>
      <c r="T1089" s="107"/>
    </row>
    <row r="1090" spans="2:20" x14ac:dyDescent="0.25">
      <c r="B1090" s="68"/>
      <c r="C1090" s="68"/>
      <c r="D1090" s="68"/>
      <c r="E1090" s="68"/>
      <c r="F1090" s="68"/>
      <c r="G1090" s="95" t="str">
        <f t="shared" si="16"/>
        <v/>
      </c>
      <c r="H1090" s="91" t="str">
        <f>IF(E1090&lt;&gt;"",E1090/'Project Summary'!$C$9,"")</f>
        <v/>
      </c>
      <c r="I1090" s="97" t="str">
        <f>IF(F1090&lt;&gt;"",F1090/'Project Summary'!$C$10, "")</f>
        <v/>
      </c>
      <c r="J1090" s="68"/>
      <c r="K1090" s="69"/>
      <c r="L1090" s="102"/>
      <c r="M1090" s="102"/>
      <c r="N1090" s="68"/>
      <c r="O1090" s="68"/>
      <c r="P1090" s="106"/>
      <c r="Q1090" s="107"/>
      <c r="R1090" s="107"/>
      <c r="S1090" s="107"/>
      <c r="T1090" s="107"/>
    </row>
    <row r="1091" spans="2:20" x14ac:dyDescent="0.25">
      <c r="B1091" s="68"/>
      <c r="C1091" s="68"/>
      <c r="D1091" s="68"/>
      <c r="E1091" s="68"/>
      <c r="F1091" s="68"/>
      <c r="G1091" s="95" t="str">
        <f t="shared" si="16"/>
        <v/>
      </c>
      <c r="H1091" s="91" t="str">
        <f>IF(E1091&lt;&gt;"",E1091/'Project Summary'!$C$9,"")</f>
        <v/>
      </c>
      <c r="I1091" s="97" t="str">
        <f>IF(F1091&lt;&gt;"",F1091/'Project Summary'!$C$10, "")</f>
        <v/>
      </c>
      <c r="J1091" s="68"/>
      <c r="K1091" s="69"/>
      <c r="L1091" s="102"/>
      <c r="M1091" s="102"/>
      <c r="N1091" s="68"/>
      <c r="O1091" s="68"/>
      <c r="P1091" s="106"/>
      <c r="Q1091" s="107"/>
      <c r="R1091" s="107"/>
      <c r="S1091" s="107"/>
      <c r="T1091" s="107"/>
    </row>
    <row r="1092" spans="2:20" x14ac:dyDescent="0.25">
      <c r="B1092" s="68"/>
      <c r="C1092" s="68"/>
      <c r="D1092" s="68"/>
      <c r="E1092" s="68"/>
      <c r="F1092" s="68"/>
      <c r="G1092" s="95" t="str">
        <f t="shared" si="16"/>
        <v/>
      </c>
      <c r="H1092" s="91" t="str">
        <f>IF(E1092&lt;&gt;"",E1092/'Project Summary'!$C$9,"")</f>
        <v/>
      </c>
      <c r="I1092" s="97" t="str">
        <f>IF(F1092&lt;&gt;"",F1092/'Project Summary'!$C$10, "")</f>
        <v/>
      </c>
      <c r="J1092" s="68"/>
      <c r="K1092" s="69"/>
      <c r="L1092" s="102"/>
      <c r="M1092" s="102"/>
      <c r="N1092" s="68"/>
      <c r="O1092" s="68"/>
      <c r="P1092" s="106"/>
      <c r="Q1092" s="107"/>
      <c r="R1092" s="107"/>
      <c r="S1092" s="107"/>
      <c r="T1092" s="107"/>
    </row>
    <row r="1093" spans="2:20" x14ac:dyDescent="0.25">
      <c r="B1093" s="68"/>
      <c r="C1093" s="68"/>
      <c r="D1093" s="68"/>
      <c r="E1093" s="68"/>
      <c r="F1093" s="68"/>
      <c r="G1093" s="95" t="str">
        <f t="shared" si="16"/>
        <v/>
      </c>
      <c r="H1093" s="91" t="str">
        <f>IF(E1093&lt;&gt;"",E1093/'Project Summary'!$C$9,"")</f>
        <v/>
      </c>
      <c r="I1093" s="97" t="str">
        <f>IF(F1093&lt;&gt;"",F1093/'Project Summary'!$C$10, "")</f>
        <v/>
      </c>
      <c r="J1093" s="68"/>
      <c r="K1093" s="69"/>
      <c r="L1093" s="102"/>
      <c r="M1093" s="102"/>
      <c r="N1093" s="68"/>
      <c r="O1093" s="68"/>
      <c r="P1093" s="106"/>
      <c r="Q1093" s="107"/>
      <c r="R1093" s="107"/>
      <c r="S1093" s="107"/>
      <c r="T1093" s="107"/>
    </row>
    <row r="1094" spans="2:20" x14ac:dyDescent="0.25">
      <c r="B1094" s="68"/>
      <c r="C1094" s="68"/>
      <c r="D1094" s="68"/>
      <c r="E1094" s="68"/>
      <c r="F1094" s="68"/>
      <c r="G1094" s="95" t="str">
        <f t="shared" si="16"/>
        <v/>
      </c>
      <c r="H1094" s="91" t="str">
        <f>IF(E1094&lt;&gt;"",E1094/'Project Summary'!$C$9,"")</f>
        <v/>
      </c>
      <c r="I1094" s="97" t="str">
        <f>IF(F1094&lt;&gt;"",F1094/'Project Summary'!$C$10, "")</f>
        <v/>
      </c>
      <c r="J1094" s="68"/>
      <c r="K1094" s="69"/>
      <c r="L1094" s="102"/>
      <c r="M1094" s="102"/>
      <c r="N1094" s="68"/>
      <c r="O1094" s="68"/>
      <c r="P1094" s="106"/>
      <c r="Q1094" s="107"/>
      <c r="R1094" s="107"/>
      <c r="S1094" s="107"/>
      <c r="T1094" s="107"/>
    </row>
    <row r="1095" spans="2:20" x14ac:dyDescent="0.25">
      <c r="B1095" s="68"/>
      <c r="C1095" s="68"/>
      <c r="D1095" s="68"/>
      <c r="E1095" s="68"/>
      <c r="F1095" s="68"/>
      <c r="G1095" s="95" t="str">
        <f t="shared" si="16"/>
        <v/>
      </c>
      <c r="H1095" s="91" t="str">
        <f>IF(E1095&lt;&gt;"",E1095/'Project Summary'!$C$9,"")</f>
        <v/>
      </c>
      <c r="I1095" s="97" t="str">
        <f>IF(F1095&lt;&gt;"",F1095/'Project Summary'!$C$10, "")</f>
        <v/>
      </c>
      <c r="J1095" s="68"/>
      <c r="K1095" s="69"/>
      <c r="L1095" s="102"/>
      <c r="M1095" s="102"/>
      <c r="N1095" s="68"/>
      <c r="O1095" s="68"/>
      <c r="P1095" s="106"/>
      <c r="Q1095" s="107"/>
      <c r="R1095" s="107"/>
      <c r="S1095" s="107"/>
      <c r="T1095" s="107"/>
    </row>
    <row r="1096" spans="2:20" x14ac:dyDescent="0.25">
      <c r="B1096" s="68"/>
      <c r="C1096" s="68"/>
      <c r="D1096" s="68"/>
      <c r="E1096" s="68"/>
      <c r="F1096" s="68"/>
      <c r="G1096" s="95" t="str">
        <f t="shared" si="16"/>
        <v/>
      </c>
      <c r="H1096" s="91" t="str">
        <f>IF(E1096&lt;&gt;"",E1096/'Project Summary'!$C$9,"")</f>
        <v/>
      </c>
      <c r="I1096" s="97" t="str">
        <f>IF(F1096&lt;&gt;"",F1096/'Project Summary'!$C$10, "")</f>
        <v/>
      </c>
      <c r="J1096" s="68"/>
      <c r="K1096" s="69"/>
      <c r="L1096" s="102"/>
      <c r="M1096" s="102"/>
      <c r="N1096" s="68"/>
      <c r="O1096" s="68"/>
      <c r="P1096" s="106"/>
      <c r="Q1096" s="107"/>
      <c r="R1096" s="107"/>
      <c r="S1096" s="107"/>
      <c r="T1096" s="107"/>
    </row>
    <row r="1097" spans="2:20" x14ac:dyDescent="0.25">
      <c r="B1097" s="68"/>
      <c r="C1097" s="68"/>
      <c r="D1097" s="68"/>
      <c r="E1097" s="68"/>
      <c r="F1097" s="68"/>
      <c r="G1097" s="95" t="str">
        <f t="shared" si="16"/>
        <v/>
      </c>
      <c r="H1097" s="91" t="str">
        <f>IF(E1097&lt;&gt;"",E1097/'Project Summary'!$C$9,"")</f>
        <v/>
      </c>
      <c r="I1097" s="97" t="str">
        <f>IF(F1097&lt;&gt;"",F1097/'Project Summary'!$C$10, "")</f>
        <v/>
      </c>
      <c r="J1097" s="68"/>
      <c r="K1097" s="69"/>
      <c r="L1097" s="102"/>
      <c r="M1097" s="102"/>
      <c r="N1097" s="68"/>
      <c r="O1097" s="68"/>
      <c r="P1097" s="106"/>
      <c r="Q1097" s="107"/>
      <c r="R1097" s="107"/>
      <c r="S1097" s="107"/>
      <c r="T1097" s="107"/>
    </row>
    <row r="1098" spans="2:20" x14ac:dyDescent="0.25">
      <c r="B1098" s="68"/>
      <c r="C1098" s="68"/>
      <c r="D1098" s="68"/>
      <c r="E1098" s="68"/>
      <c r="F1098" s="68"/>
      <c r="G1098" s="95" t="str">
        <f t="shared" si="16"/>
        <v/>
      </c>
      <c r="H1098" s="91" t="str">
        <f>IF(E1098&lt;&gt;"",E1098/'Project Summary'!$C$9,"")</f>
        <v/>
      </c>
      <c r="I1098" s="97" t="str">
        <f>IF(F1098&lt;&gt;"",F1098/'Project Summary'!$C$10, "")</f>
        <v/>
      </c>
      <c r="J1098" s="68"/>
      <c r="K1098" s="69"/>
      <c r="L1098" s="102"/>
      <c r="M1098" s="102"/>
      <c r="N1098" s="68"/>
      <c r="O1098" s="68"/>
      <c r="P1098" s="106"/>
      <c r="Q1098" s="107"/>
      <c r="R1098" s="107"/>
      <c r="S1098" s="107"/>
      <c r="T1098" s="107"/>
    </row>
    <row r="1099" spans="2:20" x14ac:dyDescent="0.25">
      <c r="B1099" s="68"/>
      <c r="C1099" s="68"/>
      <c r="D1099" s="68"/>
      <c r="E1099" s="68"/>
      <c r="F1099" s="68"/>
      <c r="G1099" s="95" t="str">
        <f t="shared" si="16"/>
        <v/>
      </c>
      <c r="H1099" s="91" t="str">
        <f>IF(E1099&lt;&gt;"",E1099/'Project Summary'!$C$9,"")</f>
        <v/>
      </c>
      <c r="I1099" s="97" t="str">
        <f>IF(F1099&lt;&gt;"",F1099/'Project Summary'!$C$10, "")</f>
        <v/>
      </c>
      <c r="J1099" s="68"/>
      <c r="K1099" s="69"/>
      <c r="L1099" s="102"/>
      <c r="M1099" s="102"/>
      <c r="N1099" s="68"/>
      <c r="O1099" s="68"/>
      <c r="P1099" s="106"/>
      <c r="Q1099" s="107"/>
      <c r="R1099" s="107"/>
      <c r="S1099" s="107"/>
      <c r="T1099" s="107"/>
    </row>
    <row r="1100" spans="2:20" x14ac:dyDescent="0.25">
      <c r="B1100" s="68"/>
      <c r="C1100" s="68"/>
      <c r="D1100" s="68"/>
      <c r="E1100" s="68"/>
      <c r="F1100" s="68"/>
      <c r="G1100" s="95" t="str">
        <f t="shared" ref="G1100:G1143" si="17">IF(D1100&lt;&gt;"", D1100/E1100, "")</f>
        <v/>
      </c>
      <c r="H1100" s="91" t="str">
        <f>IF(E1100&lt;&gt;"",E1100/'Project Summary'!$C$9,"")</f>
        <v/>
      </c>
      <c r="I1100" s="97" t="str">
        <f>IF(F1100&lt;&gt;"",F1100/'Project Summary'!$C$10, "")</f>
        <v/>
      </c>
      <c r="J1100" s="68"/>
      <c r="K1100" s="69"/>
      <c r="L1100" s="102"/>
      <c r="M1100" s="102"/>
      <c r="N1100" s="68"/>
      <c r="O1100" s="68"/>
      <c r="P1100" s="106"/>
      <c r="Q1100" s="107"/>
      <c r="R1100" s="107"/>
      <c r="S1100" s="107"/>
      <c r="T1100" s="107"/>
    </row>
    <row r="1101" spans="2:20" x14ac:dyDescent="0.25">
      <c r="B1101" s="68"/>
      <c r="C1101" s="68"/>
      <c r="D1101" s="68"/>
      <c r="E1101" s="68"/>
      <c r="F1101" s="68"/>
      <c r="G1101" s="95" t="str">
        <f t="shared" si="17"/>
        <v/>
      </c>
      <c r="H1101" s="91" t="str">
        <f>IF(E1101&lt;&gt;"",E1101/'Project Summary'!$C$9,"")</f>
        <v/>
      </c>
      <c r="I1101" s="97" t="str">
        <f>IF(F1101&lt;&gt;"",F1101/'Project Summary'!$C$10, "")</f>
        <v/>
      </c>
      <c r="J1101" s="68"/>
      <c r="K1101" s="69"/>
      <c r="L1101" s="102"/>
      <c r="M1101" s="102"/>
      <c r="N1101" s="68"/>
      <c r="O1101" s="68"/>
      <c r="P1101" s="106"/>
      <c r="Q1101" s="107"/>
      <c r="R1101" s="107"/>
      <c r="S1101" s="107"/>
      <c r="T1101" s="107"/>
    </row>
    <row r="1102" spans="2:20" x14ac:dyDescent="0.25">
      <c r="B1102" s="68"/>
      <c r="C1102" s="68"/>
      <c r="D1102" s="68"/>
      <c r="E1102" s="68"/>
      <c r="F1102" s="68"/>
      <c r="G1102" s="95" t="str">
        <f t="shared" si="17"/>
        <v/>
      </c>
      <c r="H1102" s="91" t="str">
        <f>IF(E1102&lt;&gt;"",E1102/'Project Summary'!$C$9,"")</f>
        <v/>
      </c>
      <c r="I1102" s="97" t="str">
        <f>IF(F1102&lt;&gt;"",F1102/'Project Summary'!$C$10, "")</f>
        <v/>
      </c>
      <c r="J1102" s="68"/>
      <c r="K1102" s="69"/>
      <c r="L1102" s="102"/>
      <c r="M1102" s="102"/>
      <c r="N1102" s="68"/>
      <c r="O1102" s="68"/>
      <c r="P1102" s="106"/>
      <c r="Q1102" s="107"/>
      <c r="R1102" s="107"/>
      <c r="S1102" s="107"/>
      <c r="T1102" s="107"/>
    </row>
    <row r="1103" spans="2:20" x14ac:dyDescent="0.25">
      <c r="B1103" s="68"/>
      <c r="C1103" s="68"/>
      <c r="D1103" s="68"/>
      <c r="E1103" s="68"/>
      <c r="F1103" s="68"/>
      <c r="G1103" s="95" t="str">
        <f t="shared" si="17"/>
        <v/>
      </c>
      <c r="H1103" s="91" t="str">
        <f>IF(E1103&lt;&gt;"",E1103/'Project Summary'!$C$9,"")</f>
        <v/>
      </c>
      <c r="I1103" s="97" t="str">
        <f>IF(F1103&lt;&gt;"",F1103/'Project Summary'!$C$10, "")</f>
        <v/>
      </c>
      <c r="J1103" s="68"/>
      <c r="K1103" s="69"/>
      <c r="L1103" s="102"/>
      <c r="M1103" s="102"/>
      <c r="N1103" s="68"/>
      <c r="O1103" s="68"/>
      <c r="P1103" s="106"/>
      <c r="Q1103" s="107"/>
      <c r="R1103" s="107"/>
      <c r="S1103" s="107"/>
      <c r="T1103" s="107"/>
    </row>
    <row r="1104" spans="2:20" x14ac:dyDescent="0.25">
      <c r="B1104" s="68"/>
      <c r="C1104" s="68"/>
      <c r="D1104" s="68"/>
      <c r="E1104" s="68"/>
      <c r="F1104" s="68"/>
      <c r="G1104" s="95" t="str">
        <f t="shared" si="17"/>
        <v/>
      </c>
      <c r="H1104" s="91" t="str">
        <f>IF(E1104&lt;&gt;"",E1104/'Project Summary'!$C$9,"")</f>
        <v/>
      </c>
      <c r="I1104" s="97" t="str">
        <f>IF(F1104&lt;&gt;"",F1104/'Project Summary'!$C$10, "")</f>
        <v/>
      </c>
      <c r="J1104" s="68"/>
      <c r="K1104" s="69"/>
      <c r="L1104" s="102"/>
      <c r="M1104" s="102"/>
      <c r="N1104" s="68"/>
      <c r="O1104" s="68"/>
      <c r="P1104" s="106"/>
      <c r="Q1104" s="107"/>
      <c r="R1104" s="107"/>
      <c r="S1104" s="107"/>
      <c r="T1104" s="107"/>
    </row>
    <row r="1105" spans="2:20" x14ac:dyDescent="0.25">
      <c r="B1105" s="68"/>
      <c r="C1105" s="68"/>
      <c r="D1105" s="68"/>
      <c r="E1105" s="68"/>
      <c r="F1105" s="68"/>
      <c r="G1105" s="95" t="str">
        <f t="shared" si="17"/>
        <v/>
      </c>
      <c r="H1105" s="91" t="str">
        <f>IF(E1105&lt;&gt;"",E1105/'Project Summary'!$C$9,"")</f>
        <v/>
      </c>
      <c r="I1105" s="97" t="str">
        <f>IF(F1105&lt;&gt;"",F1105/'Project Summary'!$C$10, "")</f>
        <v/>
      </c>
      <c r="J1105" s="68"/>
      <c r="K1105" s="69"/>
      <c r="L1105" s="102"/>
      <c r="M1105" s="102"/>
      <c r="N1105" s="68"/>
      <c r="O1105" s="68"/>
      <c r="P1105" s="106"/>
      <c r="Q1105" s="107"/>
      <c r="R1105" s="107"/>
      <c r="S1105" s="107"/>
      <c r="T1105" s="107"/>
    </row>
    <row r="1106" spans="2:20" x14ac:dyDescent="0.25">
      <c r="B1106" s="68"/>
      <c r="C1106" s="68"/>
      <c r="D1106" s="68"/>
      <c r="E1106" s="68"/>
      <c r="F1106" s="68"/>
      <c r="G1106" s="95" t="str">
        <f t="shared" si="17"/>
        <v/>
      </c>
      <c r="H1106" s="91" t="str">
        <f>IF(E1106&lt;&gt;"",E1106/'Project Summary'!$C$9,"")</f>
        <v/>
      </c>
      <c r="I1106" s="97" t="str">
        <f>IF(F1106&lt;&gt;"",F1106/'Project Summary'!$C$10, "")</f>
        <v/>
      </c>
      <c r="J1106" s="68"/>
      <c r="K1106" s="69"/>
      <c r="L1106" s="102"/>
      <c r="M1106" s="102"/>
      <c r="N1106" s="68"/>
      <c r="O1106" s="68"/>
      <c r="P1106" s="106"/>
      <c r="Q1106" s="107"/>
      <c r="R1106" s="107"/>
      <c r="S1106" s="107"/>
      <c r="T1106" s="107"/>
    </row>
    <row r="1107" spans="2:20" x14ac:dyDescent="0.25">
      <c r="B1107" s="68"/>
      <c r="C1107" s="68"/>
      <c r="D1107" s="68"/>
      <c r="E1107" s="68"/>
      <c r="F1107" s="68"/>
      <c r="G1107" s="95" t="str">
        <f t="shared" si="17"/>
        <v/>
      </c>
      <c r="H1107" s="91" t="str">
        <f>IF(E1107&lt;&gt;"",E1107/'Project Summary'!$C$9,"")</f>
        <v/>
      </c>
      <c r="I1107" s="97" t="str">
        <f>IF(F1107&lt;&gt;"",F1107/'Project Summary'!$C$10, "")</f>
        <v/>
      </c>
      <c r="J1107" s="68"/>
      <c r="K1107" s="69"/>
      <c r="L1107" s="102"/>
      <c r="M1107" s="102"/>
      <c r="N1107" s="68"/>
      <c r="O1107" s="68"/>
      <c r="P1107" s="106"/>
      <c r="Q1107" s="107"/>
      <c r="R1107" s="107"/>
      <c r="S1107" s="107"/>
      <c r="T1107" s="107"/>
    </row>
    <row r="1108" spans="2:20" x14ac:dyDescent="0.25">
      <c r="B1108" s="68"/>
      <c r="C1108" s="68"/>
      <c r="D1108" s="68"/>
      <c r="E1108" s="68"/>
      <c r="F1108" s="68"/>
      <c r="G1108" s="95" t="str">
        <f t="shared" si="17"/>
        <v/>
      </c>
      <c r="H1108" s="91" t="str">
        <f>IF(E1108&lt;&gt;"",E1108/'Project Summary'!$C$9,"")</f>
        <v/>
      </c>
      <c r="I1108" s="97" t="str">
        <f>IF(F1108&lt;&gt;"",F1108/'Project Summary'!$C$10, "")</f>
        <v/>
      </c>
      <c r="J1108" s="68"/>
      <c r="K1108" s="69"/>
      <c r="L1108" s="102"/>
      <c r="M1108" s="102"/>
      <c r="N1108" s="68"/>
      <c r="O1108" s="68"/>
      <c r="P1108" s="106"/>
      <c r="Q1108" s="107"/>
      <c r="R1108" s="107"/>
      <c r="S1108" s="107"/>
      <c r="T1108" s="107"/>
    </row>
    <row r="1109" spans="2:20" x14ac:dyDescent="0.25">
      <c r="B1109" s="68"/>
      <c r="C1109" s="68"/>
      <c r="D1109" s="68"/>
      <c r="E1109" s="68"/>
      <c r="F1109" s="68"/>
      <c r="G1109" s="95" t="str">
        <f t="shared" si="17"/>
        <v/>
      </c>
      <c r="H1109" s="91" t="str">
        <f>IF(E1109&lt;&gt;"",E1109/'Project Summary'!$C$9,"")</f>
        <v/>
      </c>
      <c r="I1109" s="97" t="str">
        <f>IF(F1109&lt;&gt;"",F1109/'Project Summary'!$C$10, "")</f>
        <v/>
      </c>
      <c r="J1109" s="68"/>
      <c r="K1109" s="69"/>
      <c r="L1109" s="102"/>
      <c r="M1109" s="102"/>
      <c r="N1109" s="68"/>
      <c r="O1109" s="68"/>
      <c r="P1109" s="106"/>
      <c r="Q1109" s="107"/>
      <c r="R1109" s="107"/>
      <c r="S1109" s="107"/>
      <c r="T1109" s="107"/>
    </row>
    <row r="1110" spans="2:20" x14ac:dyDescent="0.25">
      <c r="B1110" s="68"/>
      <c r="C1110" s="68"/>
      <c r="D1110" s="68"/>
      <c r="E1110" s="68"/>
      <c r="F1110" s="68"/>
      <c r="G1110" s="95" t="str">
        <f t="shared" si="17"/>
        <v/>
      </c>
      <c r="H1110" s="91" t="str">
        <f>IF(E1110&lt;&gt;"",E1110/'Project Summary'!$C$9,"")</f>
        <v/>
      </c>
      <c r="I1110" s="97" t="str">
        <f>IF(F1110&lt;&gt;"",F1110/'Project Summary'!$C$10, "")</f>
        <v/>
      </c>
      <c r="J1110" s="68"/>
      <c r="K1110" s="69"/>
      <c r="L1110" s="102"/>
      <c r="M1110" s="102"/>
      <c r="N1110" s="68"/>
      <c r="O1110" s="68"/>
      <c r="P1110" s="106"/>
      <c r="Q1110" s="107"/>
      <c r="R1110" s="107"/>
      <c r="S1110" s="107"/>
      <c r="T1110" s="107"/>
    </row>
    <row r="1111" spans="2:20" x14ac:dyDescent="0.25">
      <c r="B1111" s="68"/>
      <c r="C1111" s="68"/>
      <c r="D1111" s="68"/>
      <c r="E1111" s="68"/>
      <c r="F1111" s="68"/>
      <c r="G1111" s="95" t="str">
        <f t="shared" si="17"/>
        <v/>
      </c>
      <c r="H1111" s="91" t="str">
        <f>IF(E1111&lt;&gt;"",E1111/'Project Summary'!$C$9,"")</f>
        <v/>
      </c>
      <c r="I1111" s="97" t="str">
        <f>IF(F1111&lt;&gt;"",F1111/'Project Summary'!$C$10, "")</f>
        <v/>
      </c>
      <c r="J1111" s="68"/>
      <c r="K1111" s="69"/>
      <c r="L1111" s="102"/>
      <c r="M1111" s="102"/>
      <c r="N1111" s="68"/>
      <c r="O1111" s="68"/>
      <c r="P1111" s="106"/>
      <c r="Q1111" s="107"/>
      <c r="R1111" s="107"/>
      <c r="S1111" s="107"/>
      <c r="T1111" s="107"/>
    </row>
    <row r="1112" spans="2:20" x14ac:dyDescent="0.25">
      <c r="B1112" s="68"/>
      <c r="C1112" s="68"/>
      <c r="D1112" s="68"/>
      <c r="E1112" s="68"/>
      <c r="F1112" s="68"/>
      <c r="G1112" s="95" t="str">
        <f t="shared" si="17"/>
        <v/>
      </c>
      <c r="H1112" s="91" t="str">
        <f>IF(E1112&lt;&gt;"",E1112/'Project Summary'!$C$9,"")</f>
        <v/>
      </c>
      <c r="I1112" s="97" t="str">
        <f>IF(F1112&lt;&gt;"",F1112/'Project Summary'!$C$10, "")</f>
        <v/>
      </c>
      <c r="J1112" s="68"/>
      <c r="K1112" s="69"/>
      <c r="L1112" s="102"/>
      <c r="M1112" s="102"/>
      <c r="N1112" s="68"/>
      <c r="O1112" s="68"/>
      <c r="P1112" s="106"/>
      <c r="Q1112" s="107"/>
      <c r="R1112" s="107"/>
      <c r="S1112" s="107"/>
      <c r="T1112" s="107"/>
    </row>
    <row r="1113" spans="2:20" x14ac:dyDescent="0.25">
      <c r="B1113" s="68"/>
      <c r="C1113" s="68"/>
      <c r="D1113" s="68"/>
      <c r="E1113" s="68"/>
      <c r="F1113" s="68"/>
      <c r="G1113" s="95" t="str">
        <f t="shared" si="17"/>
        <v/>
      </c>
      <c r="H1113" s="91" t="str">
        <f>IF(E1113&lt;&gt;"",E1113/'Project Summary'!$C$9,"")</f>
        <v/>
      </c>
      <c r="I1113" s="97" t="str">
        <f>IF(F1113&lt;&gt;"",F1113/'Project Summary'!$C$10, "")</f>
        <v/>
      </c>
      <c r="J1113" s="68"/>
      <c r="K1113" s="69"/>
      <c r="L1113" s="102"/>
      <c r="M1113" s="102"/>
      <c r="N1113" s="68"/>
      <c r="O1113" s="68"/>
      <c r="P1113" s="106"/>
      <c r="Q1113" s="107"/>
      <c r="R1113" s="107"/>
      <c r="S1113" s="107"/>
      <c r="T1113" s="107"/>
    </row>
    <row r="1114" spans="2:20" x14ac:dyDescent="0.25">
      <c r="B1114" s="68"/>
      <c r="C1114" s="68"/>
      <c r="D1114" s="68"/>
      <c r="E1114" s="68"/>
      <c r="F1114" s="68"/>
      <c r="G1114" s="95" t="str">
        <f t="shared" si="17"/>
        <v/>
      </c>
      <c r="H1114" s="91" t="str">
        <f>IF(E1114&lt;&gt;"",E1114/'Project Summary'!$C$9,"")</f>
        <v/>
      </c>
      <c r="I1114" s="97" t="str">
        <f>IF(F1114&lt;&gt;"",F1114/'Project Summary'!$C$10, "")</f>
        <v/>
      </c>
      <c r="J1114" s="68"/>
      <c r="K1114" s="69"/>
      <c r="L1114" s="102"/>
      <c r="M1114" s="102"/>
      <c r="N1114" s="68"/>
      <c r="O1114" s="68"/>
      <c r="P1114" s="106"/>
      <c r="Q1114" s="107"/>
      <c r="R1114" s="107"/>
      <c r="S1114" s="107"/>
      <c r="T1114" s="107"/>
    </row>
    <row r="1115" spans="2:20" x14ac:dyDescent="0.25">
      <c r="B1115" s="68"/>
      <c r="C1115" s="68"/>
      <c r="D1115" s="68"/>
      <c r="E1115" s="68"/>
      <c r="F1115" s="68"/>
      <c r="G1115" s="95" t="str">
        <f t="shared" si="17"/>
        <v/>
      </c>
      <c r="H1115" s="91" t="str">
        <f>IF(E1115&lt;&gt;"",E1115/'Project Summary'!$C$9,"")</f>
        <v/>
      </c>
      <c r="I1115" s="97" t="str">
        <f>IF(F1115&lt;&gt;"",F1115/'Project Summary'!$C$10, "")</f>
        <v/>
      </c>
      <c r="J1115" s="68"/>
      <c r="K1115" s="69"/>
      <c r="L1115" s="102"/>
      <c r="M1115" s="102"/>
      <c r="N1115" s="68"/>
      <c r="O1115" s="68"/>
      <c r="P1115" s="106"/>
      <c r="Q1115" s="107"/>
      <c r="R1115" s="107"/>
      <c r="S1115" s="107"/>
      <c r="T1115" s="107"/>
    </row>
    <row r="1116" spans="2:20" x14ac:dyDescent="0.25">
      <c r="B1116" s="68"/>
      <c r="C1116" s="68"/>
      <c r="D1116" s="68"/>
      <c r="E1116" s="68"/>
      <c r="F1116" s="68"/>
      <c r="G1116" s="95" t="str">
        <f t="shared" si="17"/>
        <v/>
      </c>
      <c r="H1116" s="91" t="str">
        <f>IF(E1116&lt;&gt;"",E1116/'Project Summary'!$C$9,"")</f>
        <v/>
      </c>
      <c r="I1116" s="97" t="str">
        <f>IF(F1116&lt;&gt;"",F1116/'Project Summary'!$C$10, "")</f>
        <v/>
      </c>
      <c r="J1116" s="68"/>
      <c r="K1116" s="69"/>
      <c r="L1116" s="102"/>
      <c r="M1116" s="102"/>
      <c r="N1116" s="68"/>
      <c r="O1116" s="68"/>
      <c r="P1116" s="106"/>
      <c r="Q1116" s="107"/>
      <c r="R1116" s="107"/>
      <c r="S1116" s="107"/>
      <c r="T1116" s="107"/>
    </row>
    <row r="1117" spans="2:20" x14ac:dyDescent="0.25">
      <c r="B1117" s="68"/>
      <c r="C1117" s="68"/>
      <c r="D1117" s="68"/>
      <c r="E1117" s="68"/>
      <c r="F1117" s="68"/>
      <c r="G1117" s="95" t="str">
        <f t="shared" si="17"/>
        <v/>
      </c>
      <c r="H1117" s="91" t="str">
        <f>IF(E1117&lt;&gt;"",E1117/'Project Summary'!$C$9,"")</f>
        <v/>
      </c>
      <c r="I1117" s="97" t="str">
        <f>IF(F1117&lt;&gt;"",F1117/'Project Summary'!$C$10, "")</f>
        <v/>
      </c>
      <c r="J1117" s="68"/>
      <c r="K1117" s="69"/>
      <c r="L1117" s="102"/>
      <c r="M1117" s="102"/>
      <c r="N1117" s="68"/>
      <c r="O1117" s="68"/>
      <c r="P1117" s="106"/>
      <c r="Q1117" s="107"/>
      <c r="R1117" s="107"/>
      <c r="S1117" s="107"/>
      <c r="T1117" s="107"/>
    </row>
    <row r="1118" spans="2:20" x14ac:dyDescent="0.25">
      <c r="B1118" s="68"/>
      <c r="C1118" s="68"/>
      <c r="D1118" s="68"/>
      <c r="E1118" s="68"/>
      <c r="F1118" s="68"/>
      <c r="G1118" s="95" t="str">
        <f t="shared" si="17"/>
        <v/>
      </c>
      <c r="H1118" s="91" t="str">
        <f>IF(E1118&lt;&gt;"",E1118/'Project Summary'!$C$9,"")</f>
        <v/>
      </c>
      <c r="I1118" s="97" t="str">
        <f>IF(F1118&lt;&gt;"",F1118/'Project Summary'!$C$10, "")</f>
        <v/>
      </c>
      <c r="J1118" s="68"/>
      <c r="K1118" s="69"/>
      <c r="L1118" s="102"/>
      <c r="M1118" s="102"/>
      <c r="N1118" s="68"/>
      <c r="O1118" s="68"/>
      <c r="P1118" s="106"/>
      <c r="Q1118" s="107"/>
      <c r="R1118" s="107"/>
      <c r="S1118" s="107"/>
      <c r="T1118" s="107"/>
    </row>
    <row r="1119" spans="2:20" x14ac:dyDescent="0.25">
      <c r="B1119" s="68"/>
      <c r="C1119" s="68"/>
      <c r="D1119" s="68"/>
      <c r="E1119" s="68"/>
      <c r="F1119" s="68"/>
      <c r="G1119" s="95" t="str">
        <f t="shared" si="17"/>
        <v/>
      </c>
      <c r="H1119" s="91" t="str">
        <f>IF(E1119&lt;&gt;"",E1119/'Project Summary'!$C$9,"")</f>
        <v/>
      </c>
      <c r="I1119" s="97" t="str">
        <f>IF(F1119&lt;&gt;"",F1119/'Project Summary'!$C$10, "")</f>
        <v/>
      </c>
      <c r="J1119" s="68"/>
      <c r="K1119" s="69"/>
      <c r="L1119" s="102"/>
      <c r="M1119" s="102"/>
      <c r="N1119" s="68"/>
      <c r="O1119" s="68"/>
      <c r="P1119" s="106"/>
      <c r="Q1119" s="107"/>
      <c r="R1119" s="107"/>
      <c r="S1119" s="107"/>
      <c r="T1119" s="107"/>
    </row>
    <row r="1120" spans="2:20" x14ac:dyDescent="0.25">
      <c r="B1120" s="68"/>
      <c r="C1120" s="68"/>
      <c r="D1120" s="68"/>
      <c r="E1120" s="68"/>
      <c r="F1120" s="68"/>
      <c r="G1120" s="95" t="str">
        <f t="shared" si="17"/>
        <v/>
      </c>
      <c r="H1120" s="91" t="str">
        <f>IF(E1120&lt;&gt;"",E1120/'Project Summary'!$C$9,"")</f>
        <v/>
      </c>
      <c r="I1120" s="97" t="str">
        <f>IF(F1120&lt;&gt;"",F1120/'Project Summary'!$C$10, "")</f>
        <v/>
      </c>
      <c r="J1120" s="68"/>
      <c r="K1120" s="69"/>
      <c r="L1120" s="102"/>
      <c r="M1120" s="102"/>
      <c r="N1120" s="68"/>
      <c r="O1120" s="68"/>
      <c r="P1120" s="106"/>
      <c r="Q1120" s="107"/>
      <c r="R1120" s="107"/>
      <c r="S1120" s="107"/>
      <c r="T1120" s="107"/>
    </row>
    <row r="1121" spans="2:20" x14ac:dyDescent="0.25">
      <c r="B1121" s="68"/>
      <c r="C1121" s="68"/>
      <c r="D1121" s="68"/>
      <c r="E1121" s="68"/>
      <c r="F1121" s="68"/>
      <c r="G1121" s="95" t="str">
        <f t="shared" si="17"/>
        <v/>
      </c>
      <c r="H1121" s="91" t="str">
        <f>IF(E1121&lt;&gt;"",E1121/'Project Summary'!$C$9,"")</f>
        <v/>
      </c>
      <c r="I1121" s="97" t="str">
        <f>IF(F1121&lt;&gt;"",F1121/'Project Summary'!$C$10, "")</f>
        <v/>
      </c>
      <c r="J1121" s="68"/>
      <c r="K1121" s="69"/>
      <c r="L1121" s="102"/>
      <c r="M1121" s="102"/>
      <c r="N1121" s="68"/>
      <c r="O1121" s="68"/>
      <c r="P1121" s="106"/>
      <c r="Q1121" s="107"/>
      <c r="R1121" s="107"/>
      <c r="S1121" s="107"/>
      <c r="T1121" s="107"/>
    </row>
    <row r="1122" spans="2:20" x14ac:dyDescent="0.25">
      <c r="B1122" s="68"/>
      <c r="C1122" s="68"/>
      <c r="D1122" s="68"/>
      <c r="E1122" s="68"/>
      <c r="F1122" s="68"/>
      <c r="G1122" s="95" t="str">
        <f t="shared" si="17"/>
        <v/>
      </c>
      <c r="H1122" s="91" t="str">
        <f>IF(E1122&lt;&gt;"",E1122/'Project Summary'!$C$9,"")</f>
        <v/>
      </c>
      <c r="I1122" s="97" t="str">
        <f>IF(F1122&lt;&gt;"",F1122/'Project Summary'!$C$10, "")</f>
        <v/>
      </c>
      <c r="J1122" s="68"/>
      <c r="K1122" s="69"/>
      <c r="L1122" s="102"/>
      <c r="M1122" s="102"/>
      <c r="N1122" s="68"/>
      <c r="O1122" s="68"/>
      <c r="P1122" s="106"/>
      <c r="Q1122" s="107"/>
      <c r="R1122" s="107"/>
      <c r="S1122" s="107"/>
      <c r="T1122" s="107"/>
    </row>
    <row r="1123" spans="2:20" x14ac:dyDescent="0.25">
      <c r="B1123" s="68"/>
      <c r="C1123" s="68"/>
      <c r="D1123" s="68"/>
      <c r="E1123" s="68"/>
      <c r="F1123" s="68"/>
      <c r="G1123" s="95" t="str">
        <f t="shared" si="17"/>
        <v/>
      </c>
      <c r="H1123" s="91" t="str">
        <f>IF(E1123&lt;&gt;"",E1123/'Project Summary'!$C$9,"")</f>
        <v/>
      </c>
      <c r="I1123" s="97" t="str">
        <f>IF(F1123&lt;&gt;"",F1123/'Project Summary'!$C$10, "")</f>
        <v/>
      </c>
      <c r="J1123" s="68"/>
      <c r="K1123" s="69"/>
      <c r="L1123" s="102"/>
      <c r="M1123" s="102"/>
      <c r="N1123" s="68"/>
      <c r="O1123" s="68"/>
      <c r="P1123" s="106"/>
      <c r="Q1123" s="107"/>
      <c r="R1123" s="107"/>
      <c r="S1123" s="107"/>
      <c r="T1123" s="107"/>
    </row>
    <row r="1124" spans="2:20" x14ac:dyDescent="0.25">
      <c r="B1124" s="68"/>
      <c r="C1124" s="68"/>
      <c r="D1124" s="68"/>
      <c r="E1124" s="68"/>
      <c r="F1124" s="68"/>
      <c r="G1124" s="95" t="str">
        <f t="shared" si="17"/>
        <v/>
      </c>
      <c r="H1124" s="91" t="str">
        <f>IF(E1124&lt;&gt;"",E1124/'Project Summary'!$C$9,"")</f>
        <v/>
      </c>
      <c r="I1124" s="97" t="str">
        <f>IF(F1124&lt;&gt;"",F1124/'Project Summary'!$C$10, "")</f>
        <v/>
      </c>
      <c r="J1124" s="68"/>
      <c r="K1124" s="69"/>
      <c r="L1124" s="102"/>
      <c r="M1124" s="102"/>
      <c r="N1124" s="68"/>
      <c r="O1124" s="68"/>
      <c r="P1124" s="106"/>
      <c r="Q1124" s="107"/>
      <c r="R1124" s="107"/>
      <c r="S1124" s="107"/>
      <c r="T1124" s="107"/>
    </row>
    <row r="1125" spans="2:20" x14ac:dyDescent="0.25">
      <c r="B1125" s="68"/>
      <c r="C1125" s="68"/>
      <c r="D1125" s="68"/>
      <c r="E1125" s="68"/>
      <c r="F1125" s="68"/>
      <c r="G1125" s="95" t="str">
        <f t="shared" si="17"/>
        <v/>
      </c>
      <c r="H1125" s="91" t="str">
        <f>IF(E1125&lt;&gt;"",E1125/'Project Summary'!$C$9,"")</f>
        <v/>
      </c>
      <c r="I1125" s="97" t="str">
        <f>IF(F1125&lt;&gt;"",F1125/'Project Summary'!$C$10, "")</f>
        <v/>
      </c>
      <c r="J1125" s="68"/>
      <c r="K1125" s="69"/>
      <c r="L1125" s="102"/>
      <c r="M1125" s="102"/>
      <c r="N1125" s="68"/>
      <c r="O1125" s="68"/>
      <c r="P1125" s="106"/>
      <c r="Q1125" s="107"/>
      <c r="R1125" s="107"/>
      <c r="S1125" s="107"/>
      <c r="T1125" s="107"/>
    </row>
    <row r="1126" spans="2:20" x14ac:dyDescent="0.25">
      <c r="B1126" s="68"/>
      <c r="C1126" s="68"/>
      <c r="D1126" s="68"/>
      <c r="E1126" s="68"/>
      <c r="F1126" s="68"/>
      <c r="G1126" s="95" t="str">
        <f t="shared" si="17"/>
        <v/>
      </c>
      <c r="H1126" s="91" t="str">
        <f>IF(E1126&lt;&gt;"",E1126/'Project Summary'!$C$9,"")</f>
        <v/>
      </c>
      <c r="I1126" s="97" t="str">
        <f>IF(F1126&lt;&gt;"",F1126/'Project Summary'!$C$10, "")</f>
        <v/>
      </c>
      <c r="J1126" s="68"/>
      <c r="K1126" s="69"/>
      <c r="L1126" s="102"/>
      <c r="M1126" s="102"/>
      <c r="N1126" s="68"/>
      <c r="O1126" s="68"/>
      <c r="P1126" s="106"/>
      <c r="Q1126" s="107"/>
      <c r="R1126" s="107"/>
      <c r="S1126" s="107"/>
      <c r="T1126" s="107"/>
    </row>
    <row r="1127" spans="2:20" x14ac:dyDescent="0.25">
      <c r="B1127" s="68"/>
      <c r="C1127" s="68"/>
      <c r="D1127" s="68"/>
      <c r="E1127" s="68"/>
      <c r="F1127" s="68"/>
      <c r="G1127" s="95" t="str">
        <f t="shared" si="17"/>
        <v/>
      </c>
      <c r="H1127" s="91" t="str">
        <f>IF(E1127&lt;&gt;"",E1127/'Project Summary'!$C$9,"")</f>
        <v/>
      </c>
      <c r="I1127" s="97" t="str">
        <f>IF(F1127&lt;&gt;"",F1127/'Project Summary'!$C$10, "")</f>
        <v/>
      </c>
      <c r="J1127" s="68"/>
      <c r="K1127" s="69"/>
      <c r="L1127" s="102"/>
      <c r="M1127" s="102"/>
      <c r="N1127" s="68"/>
      <c r="O1127" s="68"/>
      <c r="P1127" s="106"/>
      <c r="Q1127" s="107"/>
      <c r="R1127" s="107"/>
      <c r="S1127" s="107"/>
      <c r="T1127" s="107"/>
    </row>
    <row r="1128" spans="2:20" x14ac:dyDescent="0.25">
      <c r="B1128" s="68"/>
      <c r="C1128" s="68"/>
      <c r="D1128" s="68"/>
      <c r="E1128" s="68"/>
      <c r="F1128" s="68"/>
      <c r="G1128" s="95" t="str">
        <f t="shared" si="17"/>
        <v/>
      </c>
      <c r="H1128" s="91" t="str">
        <f>IF(E1128&lt;&gt;"",E1128/'Project Summary'!$C$9,"")</f>
        <v/>
      </c>
      <c r="I1128" s="97" t="str">
        <f>IF(F1128&lt;&gt;"",F1128/'Project Summary'!$C$10, "")</f>
        <v/>
      </c>
      <c r="J1128" s="68"/>
      <c r="K1128" s="69"/>
      <c r="L1128" s="102"/>
      <c r="M1128" s="102"/>
      <c r="N1128" s="68"/>
      <c r="O1128" s="68"/>
      <c r="P1128" s="106"/>
      <c r="Q1128" s="107"/>
      <c r="R1128" s="107"/>
      <c r="S1128" s="107"/>
      <c r="T1128" s="107"/>
    </row>
    <row r="1129" spans="2:20" x14ac:dyDescent="0.25">
      <c r="B1129" s="68"/>
      <c r="C1129" s="68"/>
      <c r="D1129" s="68"/>
      <c r="E1129" s="68"/>
      <c r="F1129" s="68"/>
      <c r="G1129" s="95" t="str">
        <f t="shared" si="17"/>
        <v/>
      </c>
      <c r="H1129" s="91" t="str">
        <f>IF(E1129&lt;&gt;"",E1129/'Project Summary'!$C$9,"")</f>
        <v/>
      </c>
      <c r="I1129" s="97" t="str">
        <f>IF(F1129&lt;&gt;"",F1129/'Project Summary'!$C$10, "")</f>
        <v/>
      </c>
      <c r="J1129" s="68"/>
      <c r="K1129" s="69"/>
      <c r="L1129" s="102"/>
      <c r="M1129" s="102"/>
      <c r="N1129" s="68"/>
      <c r="O1129" s="68"/>
      <c r="P1129" s="106"/>
      <c r="Q1129" s="107"/>
      <c r="R1129" s="107"/>
      <c r="S1129" s="107"/>
      <c r="T1129" s="107"/>
    </row>
    <row r="1130" spans="2:20" x14ac:dyDescent="0.25">
      <c r="B1130" s="68"/>
      <c r="C1130" s="68"/>
      <c r="D1130" s="68"/>
      <c r="E1130" s="68"/>
      <c r="F1130" s="68"/>
      <c r="G1130" s="95" t="str">
        <f t="shared" si="17"/>
        <v/>
      </c>
      <c r="H1130" s="91" t="str">
        <f>IF(E1130&lt;&gt;"",E1130/'Project Summary'!$C$9,"")</f>
        <v/>
      </c>
      <c r="I1130" s="97" t="str">
        <f>IF(F1130&lt;&gt;"",F1130/'Project Summary'!$C$10, "")</f>
        <v/>
      </c>
      <c r="J1130" s="68"/>
      <c r="K1130" s="69"/>
      <c r="L1130" s="102"/>
      <c r="M1130" s="102"/>
      <c r="N1130" s="68"/>
      <c r="O1130" s="68"/>
      <c r="P1130" s="106"/>
      <c r="Q1130" s="107"/>
      <c r="R1130" s="107"/>
      <c r="S1130" s="107"/>
      <c r="T1130" s="107"/>
    </row>
    <row r="1131" spans="2:20" x14ac:dyDescent="0.25">
      <c r="B1131" s="68"/>
      <c r="C1131" s="68"/>
      <c r="D1131" s="68"/>
      <c r="E1131" s="68"/>
      <c r="F1131" s="68"/>
      <c r="G1131" s="95" t="str">
        <f t="shared" si="17"/>
        <v/>
      </c>
      <c r="H1131" s="91" t="str">
        <f>IF(E1131&lt;&gt;"",E1131/'Project Summary'!$C$9,"")</f>
        <v/>
      </c>
      <c r="I1131" s="97" t="str">
        <f>IF(F1131&lt;&gt;"",F1131/'Project Summary'!$C$10, "")</f>
        <v/>
      </c>
      <c r="J1131" s="68"/>
      <c r="K1131" s="69"/>
      <c r="L1131" s="102"/>
      <c r="M1131" s="102"/>
      <c r="N1131" s="68"/>
      <c r="O1131" s="68"/>
      <c r="P1131" s="106"/>
      <c r="Q1131" s="107"/>
      <c r="R1131" s="107"/>
      <c r="S1131" s="107"/>
      <c r="T1131" s="107"/>
    </row>
    <row r="1132" spans="2:20" x14ac:dyDescent="0.25">
      <c r="B1132" s="68"/>
      <c r="C1132" s="68"/>
      <c r="D1132" s="68"/>
      <c r="E1132" s="68"/>
      <c r="F1132" s="68"/>
      <c r="G1132" s="95" t="str">
        <f t="shared" si="17"/>
        <v/>
      </c>
      <c r="H1132" s="91" t="str">
        <f>IF(E1132&lt;&gt;"",E1132/'Project Summary'!$C$9,"")</f>
        <v/>
      </c>
      <c r="I1132" s="97" t="str">
        <f>IF(F1132&lt;&gt;"",F1132/'Project Summary'!$C$10, "")</f>
        <v/>
      </c>
      <c r="J1132" s="68"/>
      <c r="K1132" s="69"/>
      <c r="L1132" s="102"/>
      <c r="M1132" s="102"/>
      <c r="N1132" s="68"/>
      <c r="O1132" s="68"/>
      <c r="P1132" s="106"/>
      <c r="Q1132" s="107"/>
      <c r="R1132" s="107"/>
      <c r="S1132" s="107"/>
      <c r="T1132" s="107"/>
    </row>
    <row r="1133" spans="2:20" x14ac:dyDescent="0.25">
      <c r="B1133" s="68"/>
      <c r="C1133" s="68"/>
      <c r="D1133" s="68"/>
      <c r="E1133" s="68"/>
      <c r="F1133" s="68"/>
      <c r="G1133" s="95" t="str">
        <f t="shared" si="17"/>
        <v/>
      </c>
      <c r="H1133" s="91" t="str">
        <f>IF(E1133&lt;&gt;"",E1133/'Project Summary'!$C$9,"")</f>
        <v/>
      </c>
      <c r="I1133" s="97" t="str">
        <f>IF(F1133&lt;&gt;"",F1133/'Project Summary'!$C$10, "")</f>
        <v/>
      </c>
      <c r="J1133" s="68"/>
      <c r="K1133" s="69"/>
      <c r="L1133" s="102"/>
      <c r="M1133" s="102"/>
      <c r="N1133" s="68"/>
      <c r="O1133" s="68"/>
      <c r="P1133" s="106"/>
      <c r="Q1133" s="107"/>
      <c r="R1133" s="107"/>
      <c r="S1133" s="107"/>
      <c r="T1133" s="107"/>
    </row>
    <row r="1134" spans="2:20" x14ac:dyDescent="0.25">
      <c r="B1134" s="68"/>
      <c r="C1134" s="68"/>
      <c r="D1134" s="68"/>
      <c r="E1134" s="68"/>
      <c r="F1134" s="68"/>
      <c r="G1134" s="95" t="str">
        <f t="shared" si="17"/>
        <v/>
      </c>
      <c r="H1134" s="91" t="str">
        <f>IF(E1134&lt;&gt;"",E1134/'Project Summary'!$C$9,"")</f>
        <v/>
      </c>
      <c r="I1134" s="97" t="str">
        <f>IF(F1134&lt;&gt;"",F1134/'Project Summary'!$C$10, "")</f>
        <v/>
      </c>
      <c r="J1134" s="68"/>
      <c r="K1134" s="69"/>
      <c r="L1134" s="102"/>
      <c r="M1134" s="102"/>
      <c r="N1134" s="68"/>
      <c r="O1134" s="68"/>
      <c r="P1134" s="106"/>
      <c r="Q1134" s="107"/>
      <c r="R1134" s="107"/>
      <c r="S1134" s="107"/>
      <c r="T1134" s="107"/>
    </row>
    <row r="1135" spans="2:20" x14ac:dyDescent="0.25">
      <c r="B1135" s="68"/>
      <c r="C1135" s="68"/>
      <c r="D1135" s="68"/>
      <c r="E1135" s="68"/>
      <c r="F1135" s="68"/>
      <c r="G1135" s="95" t="str">
        <f t="shared" si="17"/>
        <v/>
      </c>
      <c r="H1135" s="91" t="str">
        <f>IF(E1135&lt;&gt;"",E1135/'Project Summary'!$C$9,"")</f>
        <v/>
      </c>
      <c r="I1135" s="97" t="str">
        <f>IF(F1135&lt;&gt;"",F1135/'Project Summary'!$C$10, "")</f>
        <v/>
      </c>
      <c r="J1135" s="68"/>
      <c r="K1135" s="69"/>
      <c r="L1135" s="102"/>
      <c r="M1135" s="102"/>
      <c r="N1135" s="68"/>
      <c r="O1135" s="68"/>
      <c r="P1135" s="106"/>
      <c r="Q1135" s="107"/>
      <c r="R1135" s="107"/>
      <c r="S1135" s="107"/>
      <c r="T1135" s="107"/>
    </row>
    <row r="1136" spans="2:20" x14ac:dyDescent="0.25">
      <c r="B1136" s="68"/>
      <c r="C1136" s="68"/>
      <c r="D1136" s="68"/>
      <c r="E1136" s="68"/>
      <c r="F1136" s="68"/>
      <c r="G1136" s="95" t="str">
        <f t="shared" si="17"/>
        <v/>
      </c>
      <c r="H1136" s="91" t="str">
        <f>IF(E1136&lt;&gt;"",E1136/'Project Summary'!$C$9,"")</f>
        <v/>
      </c>
      <c r="I1136" s="97" t="str">
        <f>IF(F1136&lt;&gt;"",F1136/'Project Summary'!$C$10, "")</f>
        <v/>
      </c>
      <c r="J1136" s="68"/>
      <c r="K1136" s="69"/>
      <c r="L1136" s="102"/>
      <c r="M1136" s="102"/>
      <c r="N1136" s="68"/>
      <c r="O1136" s="68"/>
      <c r="P1136" s="106"/>
      <c r="Q1136" s="107"/>
      <c r="R1136" s="107"/>
      <c r="S1136" s="107"/>
      <c r="T1136" s="107"/>
    </row>
    <row r="1137" spans="2:20" x14ac:dyDescent="0.25">
      <c r="B1137" s="68"/>
      <c r="C1137" s="68"/>
      <c r="D1137" s="68"/>
      <c r="E1137" s="68"/>
      <c r="F1137" s="68"/>
      <c r="G1137" s="95" t="str">
        <f t="shared" si="17"/>
        <v/>
      </c>
      <c r="H1137" s="91" t="str">
        <f>IF(E1137&lt;&gt;"",E1137/'Project Summary'!$C$9,"")</f>
        <v/>
      </c>
      <c r="I1137" s="97" t="str">
        <f>IF(F1137&lt;&gt;"",F1137/'Project Summary'!$C$10, "")</f>
        <v/>
      </c>
      <c r="J1137" s="68"/>
      <c r="K1137" s="69"/>
      <c r="L1137" s="102"/>
      <c r="M1137" s="102"/>
      <c r="N1137" s="68"/>
      <c r="O1137" s="68"/>
      <c r="P1137" s="106"/>
      <c r="Q1137" s="107"/>
      <c r="R1137" s="107"/>
      <c r="S1137" s="107"/>
      <c r="T1137" s="107"/>
    </row>
    <row r="1138" spans="2:20" x14ac:dyDescent="0.25">
      <c r="B1138" s="68"/>
      <c r="C1138" s="68"/>
      <c r="D1138" s="68"/>
      <c r="E1138" s="68"/>
      <c r="F1138" s="68"/>
      <c r="G1138" s="95" t="str">
        <f t="shared" si="17"/>
        <v/>
      </c>
      <c r="H1138" s="91" t="str">
        <f>IF(E1138&lt;&gt;"",E1138/'Project Summary'!$C$9,"")</f>
        <v/>
      </c>
      <c r="I1138" s="97" t="str">
        <f>IF(F1138&lt;&gt;"",F1138/'Project Summary'!$C$10, "")</f>
        <v/>
      </c>
      <c r="J1138" s="68"/>
      <c r="K1138" s="69"/>
      <c r="L1138" s="102"/>
      <c r="M1138" s="102"/>
      <c r="N1138" s="68"/>
      <c r="O1138" s="68"/>
      <c r="P1138" s="106"/>
      <c r="Q1138" s="107"/>
      <c r="R1138" s="107"/>
      <c r="S1138" s="107"/>
      <c r="T1138" s="107"/>
    </row>
    <row r="1139" spans="2:20" x14ac:dyDescent="0.25">
      <c r="B1139" s="68"/>
      <c r="C1139" s="68"/>
      <c r="D1139" s="68"/>
      <c r="E1139" s="68"/>
      <c r="F1139" s="68"/>
      <c r="G1139" s="95" t="str">
        <f t="shared" si="17"/>
        <v/>
      </c>
      <c r="H1139" s="91" t="str">
        <f>IF(E1139&lt;&gt;"",E1139/'Project Summary'!$C$9,"")</f>
        <v/>
      </c>
      <c r="I1139" s="97" t="str">
        <f>IF(F1139&lt;&gt;"",F1139/'Project Summary'!$C$10, "")</f>
        <v/>
      </c>
      <c r="J1139" s="68"/>
      <c r="K1139" s="69"/>
      <c r="L1139" s="102"/>
      <c r="M1139" s="102"/>
      <c r="N1139" s="68"/>
      <c r="O1139" s="68"/>
      <c r="P1139" s="106"/>
      <c r="Q1139" s="107"/>
      <c r="R1139" s="107"/>
      <c r="S1139" s="107"/>
      <c r="T1139" s="107"/>
    </row>
    <row r="1140" spans="2:20" x14ac:dyDescent="0.25">
      <c r="B1140" s="68"/>
      <c r="C1140" s="68"/>
      <c r="D1140" s="68"/>
      <c r="E1140" s="68"/>
      <c r="F1140" s="68"/>
      <c r="G1140" s="95" t="str">
        <f t="shared" si="17"/>
        <v/>
      </c>
      <c r="H1140" s="91" t="str">
        <f>IF(E1140&lt;&gt;"",E1140/'Project Summary'!$C$9,"")</f>
        <v/>
      </c>
      <c r="I1140" s="97" t="str">
        <f>IF(F1140&lt;&gt;"",F1140/'Project Summary'!$C$10, "")</f>
        <v/>
      </c>
      <c r="J1140" s="68"/>
      <c r="K1140" s="69"/>
      <c r="L1140" s="102"/>
      <c r="M1140" s="102"/>
      <c r="N1140" s="68"/>
      <c r="O1140" s="68"/>
      <c r="P1140" s="106"/>
      <c r="Q1140" s="107"/>
      <c r="R1140" s="107"/>
      <c r="S1140" s="107"/>
      <c r="T1140" s="107"/>
    </row>
    <row r="1141" spans="2:20" x14ac:dyDescent="0.25">
      <c r="B1141" s="68"/>
      <c r="C1141" s="68"/>
      <c r="D1141" s="68"/>
      <c r="E1141" s="68"/>
      <c r="F1141" s="68"/>
      <c r="G1141" s="95" t="str">
        <f t="shared" si="17"/>
        <v/>
      </c>
      <c r="H1141" s="91" t="str">
        <f>IF(E1141&lt;&gt;"",E1141/'Project Summary'!$C$9,"")</f>
        <v/>
      </c>
      <c r="I1141" s="97" t="str">
        <f>IF(F1141&lt;&gt;"",F1141/'Project Summary'!$C$10, "")</f>
        <v/>
      </c>
      <c r="J1141" s="68"/>
      <c r="K1141" s="69"/>
      <c r="L1141" s="102"/>
      <c r="M1141" s="102"/>
      <c r="N1141" s="68"/>
      <c r="O1141" s="68"/>
      <c r="P1141" s="106"/>
      <c r="Q1141" s="107"/>
      <c r="R1141" s="107"/>
      <c r="S1141" s="107"/>
      <c r="T1141" s="107"/>
    </row>
    <row r="1142" spans="2:20" x14ac:dyDescent="0.25">
      <c r="B1142" s="68"/>
      <c r="C1142" s="68"/>
      <c r="D1142" s="68"/>
      <c r="E1142" s="68"/>
      <c r="F1142" s="68"/>
      <c r="G1142" s="95" t="str">
        <f t="shared" si="17"/>
        <v/>
      </c>
      <c r="H1142" s="91" t="str">
        <f>IF(E1142&lt;&gt;"",E1142/'Project Summary'!$C$9,"")</f>
        <v/>
      </c>
      <c r="I1142" s="97" t="str">
        <f>IF(F1142&lt;&gt;"",F1142/'Project Summary'!$C$10, "")</f>
        <v/>
      </c>
      <c r="J1142" s="68"/>
      <c r="K1142" s="69"/>
      <c r="L1142" s="102"/>
      <c r="M1142" s="102"/>
      <c r="N1142" s="68"/>
      <c r="O1142" s="68"/>
      <c r="P1142" s="106"/>
      <c r="Q1142" s="107"/>
      <c r="R1142" s="107"/>
      <c r="S1142" s="107"/>
      <c r="T1142" s="107"/>
    </row>
    <row r="1143" spans="2:20" x14ac:dyDescent="0.25">
      <c r="B1143" s="68"/>
      <c r="C1143" s="68"/>
      <c r="D1143" s="68"/>
      <c r="E1143" s="68"/>
      <c r="F1143" s="68"/>
      <c r="G1143" s="95" t="str">
        <f t="shared" si="17"/>
        <v/>
      </c>
      <c r="H1143" s="91" t="str">
        <f>IF(E1143&lt;&gt;"",E1143/'Project Summary'!$C$9,"")</f>
        <v/>
      </c>
      <c r="I1143" s="97" t="str">
        <f>IF(F1143&lt;&gt;"",F1143/'Project Summary'!$C$10, "")</f>
        <v/>
      </c>
      <c r="J1143" s="68"/>
      <c r="K1143" s="69"/>
      <c r="L1143" s="102"/>
      <c r="M1143" s="102"/>
      <c r="N1143" s="68"/>
      <c r="O1143" s="68"/>
      <c r="P1143" s="106"/>
      <c r="Q1143" s="107"/>
      <c r="R1143" s="107"/>
      <c r="S1143" s="107"/>
      <c r="T1143" s="107"/>
    </row>
    <row r="1144" spans="2:20" x14ac:dyDescent="0.25">
      <c r="B1144" s="68"/>
      <c r="C1144" s="68"/>
      <c r="D1144" s="68"/>
      <c r="E1144" s="68"/>
      <c r="F1144" s="68"/>
      <c r="G1144" s="100"/>
      <c r="H1144" s="91"/>
      <c r="I1144" s="91"/>
      <c r="J1144" s="68"/>
      <c r="K1144" s="69"/>
      <c r="L1144" s="102"/>
      <c r="M1144" s="102"/>
      <c r="N1144" s="68"/>
      <c r="O1144" s="68"/>
      <c r="P1144" s="106"/>
      <c r="Q1144" s="107"/>
      <c r="R1144" s="107"/>
      <c r="S1144" s="107"/>
      <c r="T1144" s="107"/>
    </row>
    <row r="1145" spans="2:20" x14ac:dyDescent="0.25">
      <c r="B1145" s="68"/>
      <c r="C1145" s="68"/>
      <c r="D1145" s="68"/>
      <c r="E1145" s="68"/>
      <c r="F1145" s="68"/>
      <c r="G1145" s="100"/>
      <c r="H1145" s="91"/>
      <c r="I1145" s="91"/>
      <c r="J1145" s="68"/>
      <c r="K1145" s="69"/>
      <c r="L1145" s="102"/>
      <c r="M1145" s="102"/>
      <c r="N1145" s="68"/>
      <c r="O1145" s="68"/>
      <c r="P1145" s="106"/>
      <c r="Q1145" s="107"/>
      <c r="R1145" s="107"/>
      <c r="S1145" s="107"/>
      <c r="T1145" s="107"/>
    </row>
    <row r="1146" spans="2:20" x14ac:dyDescent="0.25">
      <c r="B1146" s="68"/>
      <c r="C1146" s="68"/>
      <c r="D1146" s="68"/>
      <c r="E1146" s="68"/>
      <c r="F1146" s="68"/>
      <c r="G1146" s="100"/>
      <c r="H1146" s="91"/>
      <c r="I1146" s="91"/>
      <c r="J1146" s="68"/>
      <c r="K1146" s="69"/>
      <c r="L1146" s="102"/>
      <c r="M1146" s="102"/>
      <c r="N1146" s="68"/>
      <c r="O1146" s="68"/>
      <c r="P1146" s="106"/>
      <c r="Q1146" s="107"/>
      <c r="R1146" s="107"/>
      <c r="S1146" s="107"/>
      <c r="T1146" s="107"/>
    </row>
    <row r="1147" spans="2:20" x14ac:dyDescent="0.25">
      <c r="B1147" s="68"/>
      <c r="C1147" s="68"/>
      <c r="D1147" s="68"/>
      <c r="E1147" s="68"/>
      <c r="F1147" s="68"/>
      <c r="G1147" s="100"/>
      <c r="H1147" s="91"/>
      <c r="I1147" s="91"/>
      <c r="J1147" s="68"/>
      <c r="K1147" s="69"/>
      <c r="L1147" s="102"/>
      <c r="M1147" s="102"/>
      <c r="N1147" s="68"/>
      <c r="O1147" s="68"/>
      <c r="P1147" s="106"/>
      <c r="Q1147" s="107"/>
      <c r="R1147" s="107"/>
      <c r="S1147" s="107"/>
      <c r="T1147" s="107"/>
    </row>
    <row r="1148" spans="2:20" x14ac:dyDescent="0.25">
      <c r="B1148" s="68"/>
      <c r="C1148" s="68"/>
      <c r="D1148" s="68"/>
      <c r="E1148" s="68"/>
      <c r="F1148" s="68"/>
      <c r="G1148" s="100"/>
      <c r="H1148" s="91"/>
      <c r="I1148" s="91"/>
      <c r="J1148" s="68"/>
      <c r="K1148" s="69"/>
      <c r="L1148" s="102"/>
      <c r="M1148" s="102"/>
      <c r="N1148" s="68"/>
      <c r="O1148" s="68"/>
      <c r="P1148" s="106"/>
      <c r="Q1148" s="107"/>
      <c r="R1148" s="107"/>
      <c r="S1148" s="107"/>
      <c r="T1148" s="107"/>
    </row>
    <row r="1149" spans="2:20" x14ac:dyDescent="0.25">
      <c r="B1149" s="68"/>
      <c r="C1149" s="68"/>
      <c r="D1149" s="68"/>
      <c r="E1149" s="68"/>
      <c r="F1149" s="68"/>
      <c r="G1149" s="100"/>
      <c r="H1149" s="91"/>
      <c r="I1149" s="91"/>
      <c r="J1149" s="68"/>
      <c r="K1149" s="69"/>
      <c r="L1149" s="102"/>
      <c r="M1149" s="102"/>
      <c r="N1149" s="68"/>
      <c r="O1149" s="68"/>
      <c r="P1149" s="106"/>
      <c r="Q1149" s="107"/>
      <c r="R1149" s="107"/>
      <c r="S1149" s="107"/>
      <c r="T1149" s="107"/>
    </row>
    <row r="1150" spans="2:20" x14ac:dyDescent="0.25">
      <c r="B1150" s="68"/>
      <c r="C1150" s="68"/>
      <c r="D1150" s="68"/>
      <c r="E1150" s="68"/>
      <c r="F1150" s="68"/>
      <c r="G1150" s="100"/>
      <c r="H1150" s="91"/>
      <c r="I1150" s="91"/>
      <c r="J1150" s="68"/>
      <c r="K1150" s="69"/>
      <c r="L1150" s="102"/>
      <c r="M1150" s="102"/>
      <c r="N1150" s="68"/>
      <c r="O1150" s="68"/>
      <c r="P1150" s="106"/>
      <c r="Q1150" s="107"/>
      <c r="R1150" s="107"/>
      <c r="S1150" s="107"/>
      <c r="T1150" s="107"/>
    </row>
    <row r="1151" spans="2:20" x14ac:dyDescent="0.25">
      <c r="B1151" s="68"/>
      <c r="C1151" s="68"/>
      <c r="D1151" s="68"/>
      <c r="E1151" s="68"/>
      <c r="F1151" s="68"/>
      <c r="G1151" s="100"/>
      <c r="H1151" s="91"/>
      <c r="I1151" s="91"/>
      <c r="J1151" s="68"/>
      <c r="K1151" s="69"/>
      <c r="L1151" s="102"/>
      <c r="M1151" s="102"/>
      <c r="N1151" s="68"/>
      <c r="O1151" s="68"/>
      <c r="P1151" s="106"/>
      <c r="Q1151" s="107"/>
      <c r="R1151" s="107"/>
      <c r="S1151" s="107"/>
      <c r="T1151" s="107"/>
    </row>
    <row r="1152" spans="2:20" x14ac:dyDescent="0.25">
      <c r="B1152" s="68"/>
      <c r="C1152" s="68"/>
      <c r="D1152" s="68"/>
      <c r="E1152" s="68"/>
      <c r="F1152" s="68"/>
      <c r="G1152" s="100"/>
      <c r="H1152" s="91"/>
      <c r="I1152" s="91"/>
      <c r="J1152" s="68"/>
      <c r="K1152" s="69"/>
      <c r="L1152" s="102"/>
      <c r="M1152" s="102"/>
      <c r="N1152" s="68"/>
      <c r="O1152" s="68"/>
      <c r="P1152" s="106"/>
      <c r="Q1152" s="107"/>
      <c r="R1152" s="107"/>
      <c r="S1152" s="107"/>
      <c r="T1152" s="107"/>
    </row>
    <row r="1153" spans="2:20" x14ac:dyDescent="0.25">
      <c r="B1153" s="68"/>
      <c r="C1153" s="68"/>
      <c r="D1153" s="68"/>
      <c r="E1153" s="68"/>
      <c r="F1153" s="68"/>
      <c r="G1153" s="100"/>
      <c r="H1153" s="91"/>
      <c r="I1153" s="91"/>
      <c r="J1153" s="68"/>
      <c r="K1153" s="69"/>
      <c r="L1153" s="102"/>
      <c r="M1153" s="102"/>
      <c r="N1153" s="68"/>
      <c r="O1153" s="68"/>
      <c r="P1153" s="106"/>
      <c r="Q1153" s="107"/>
      <c r="R1153" s="107"/>
      <c r="S1153" s="107"/>
      <c r="T1153" s="107"/>
    </row>
    <row r="1154" spans="2:20" x14ac:dyDescent="0.25">
      <c r="B1154" s="68"/>
      <c r="C1154" s="68"/>
      <c r="D1154" s="68"/>
      <c r="E1154" s="68"/>
      <c r="F1154" s="68"/>
      <c r="G1154" s="100"/>
      <c r="H1154" s="91"/>
      <c r="I1154" s="91"/>
      <c r="J1154" s="68"/>
      <c r="K1154" s="69"/>
      <c r="L1154" s="102"/>
      <c r="M1154" s="102"/>
      <c r="N1154" s="68"/>
      <c r="O1154" s="68"/>
      <c r="P1154" s="106"/>
      <c r="Q1154" s="107"/>
      <c r="R1154" s="107"/>
      <c r="S1154" s="107"/>
      <c r="T1154" s="107"/>
    </row>
    <row r="1155" spans="2:20" x14ac:dyDescent="0.25">
      <c r="B1155" s="68"/>
      <c r="C1155" s="68"/>
      <c r="D1155" s="68"/>
      <c r="E1155" s="68"/>
      <c r="F1155" s="68"/>
      <c r="G1155" s="100"/>
      <c r="H1155" s="91"/>
      <c r="I1155" s="91"/>
      <c r="J1155" s="68"/>
      <c r="K1155" s="69"/>
      <c r="L1155" s="102"/>
      <c r="M1155" s="102"/>
      <c r="N1155" s="68"/>
      <c r="O1155" s="68"/>
      <c r="P1155" s="106"/>
      <c r="Q1155" s="107"/>
      <c r="R1155" s="107"/>
      <c r="S1155" s="107"/>
      <c r="T1155" s="107"/>
    </row>
    <row r="1156" spans="2:20" x14ac:dyDescent="0.25">
      <c r="B1156" s="68"/>
      <c r="C1156" s="68"/>
      <c r="D1156" s="68"/>
      <c r="E1156" s="68"/>
      <c r="F1156" s="68"/>
      <c r="G1156" s="100"/>
      <c r="H1156" s="91"/>
      <c r="I1156" s="91"/>
      <c r="J1156" s="68"/>
      <c r="K1156" s="69"/>
      <c r="L1156" s="102"/>
      <c r="M1156" s="102"/>
      <c r="N1156" s="68"/>
      <c r="O1156" s="68"/>
      <c r="P1156" s="106"/>
      <c r="Q1156" s="107"/>
      <c r="R1156" s="107"/>
      <c r="S1156" s="107"/>
      <c r="T1156" s="107"/>
    </row>
    <row r="1157" spans="2:20" x14ac:dyDescent="0.25">
      <c r="B1157" s="68"/>
      <c r="C1157" s="68"/>
      <c r="D1157" s="68"/>
      <c r="E1157" s="68"/>
      <c r="F1157" s="68"/>
      <c r="G1157" s="100"/>
      <c r="H1157" s="91"/>
      <c r="I1157" s="91"/>
      <c r="J1157" s="68"/>
      <c r="K1157" s="69"/>
      <c r="L1157" s="102"/>
      <c r="M1157" s="102"/>
      <c r="N1157" s="68"/>
      <c r="O1157" s="68"/>
      <c r="P1157" s="106"/>
      <c r="Q1157" s="107"/>
      <c r="R1157" s="107"/>
      <c r="S1157" s="107"/>
      <c r="T1157" s="107"/>
    </row>
    <row r="1158" spans="2:20" x14ac:dyDescent="0.25">
      <c r="B1158" s="68"/>
      <c r="C1158" s="68"/>
      <c r="D1158" s="68"/>
      <c r="E1158" s="68"/>
      <c r="F1158" s="68"/>
      <c r="G1158" s="100"/>
      <c r="H1158" s="91"/>
      <c r="I1158" s="91"/>
      <c r="J1158" s="68"/>
      <c r="K1158" s="69"/>
      <c r="L1158" s="102"/>
      <c r="M1158" s="102"/>
      <c r="N1158" s="68"/>
      <c r="O1158" s="68"/>
      <c r="P1158" s="106"/>
      <c r="Q1158" s="107"/>
      <c r="R1158" s="107"/>
      <c r="S1158" s="107"/>
      <c r="T1158" s="107"/>
    </row>
    <row r="1159" spans="2:20" x14ac:dyDescent="0.25">
      <c r="B1159" s="68"/>
      <c r="C1159" s="68"/>
      <c r="D1159" s="68"/>
      <c r="E1159" s="68"/>
      <c r="F1159" s="68"/>
      <c r="G1159" s="100"/>
      <c r="H1159" s="91"/>
      <c r="I1159" s="91"/>
      <c r="J1159" s="68"/>
      <c r="K1159" s="69"/>
      <c r="L1159" s="102"/>
      <c r="M1159" s="102"/>
      <c r="N1159" s="68"/>
      <c r="O1159" s="68"/>
      <c r="P1159" s="106"/>
      <c r="Q1159" s="107"/>
      <c r="R1159" s="107"/>
      <c r="S1159" s="107"/>
      <c r="T1159" s="107"/>
    </row>
    <row r="1160" spans="2:20" x14ac:dyDescent="0.25">
      <c r="B1160" s="68"/>
      <c r="C1160" s="68"/>
      <c r="D1160" s="68"/>
      <c r="E1160" s="68"/>
      <c r="F1160" s="68"/>
      <c r="G1160" s="100"/>
      <c r="H1160" s="91"/>
      <c r="I1160" s="91"/>
      <c r="J1160" s="68"/>
      <c r="K1160" s="69"/>
      <c r="L1160" s="102"/>
      <c r="M1160" s="102"/>
      <c r="N1160" s="68"/>
      <c r="O1160" s="68"/>
      <c r="P1160" s="106"/>
      <c r="Q1160" s="107"/>
      <c r="R1160" s="107"/>
      <c r="S1160" s="107"/>
      <c r="T1160" s="107"/>
    </row>
    <row r="1161" spans="2:20" x14ac:dyDescent="0.25">
      <c r="B1161" s="68"/>
      <c r="C1161" s="68"/>
      <c r="D1161" s="68"/>
      <c r="E1161" s="68"/>
      <c r="F1161" s="68"/>
      <c r="G1161" s="100"/>
      <c r="H1161" s="91"/>
      <c r="I1161" s="91"/>
      <c r="J1161" s="68"/>
      <c r="K1161" s="69"/>
      <c r="L1161" s="102"/>
      <c r="M1161" s="102"/>
      <c r="N1161" s="68"/>
      <c r="O1161" s="68"/>
      <c r="P1161" s="106"/>
      <c r="Q1161" s="107"/>
      <c r="R1161" s="107"/>
      <c r="S1161" s="107"/>
      <c r="T1161" s="107"/>
    </row>
    <row r="1162" spans="2:20" x14ac:dyDescent="0.25">
      <c r="B1162" s="68"/>
      <c r="C1162" s="68"/>
      <c r="D1162" s="68"/>
      <c r="E1162" s="68"/>
      <c r="F1162" s="68"/>
      <c r="G1162" s="100"/>
      <c r="H1162" s="91"/>
      <c r="I1162" s="91"/>
      <c r="J1162" s="68"/>
      <c r="K1162" s="69"/>
      <c r="L1162" s="102"/>
      <c r="M1162" s="102"/>
      <c r="N1162" s="68"/>
      <c r="O1162" s="68"/>
      <c r="P1162" s="106"/>
      <c r="Q1162" s="107"/>
      <c r="R1162" s="107"/>
      <c r="S1162" s="107"/>
      <c r="T1162" s="107"/>
    </row>
    <row r="1163" spans="2:20" x14ac:dyDescent="0.25">
      <c r="B1163" s="68"/>
      <c r="C1163" s="68"/>
      <c r="D1163" s="68"/>
      <c r="E1163" s="68"/>
      <c r="F1163" s="68"/>
      <c r="G1163" s="100"/>
      <c r="H1163" s="91"/>
      <c r="I1163" s="91"/>
      <c r="J1163" s="68"/>
      <c r="K1163" s="69"/>
      <c r="L1163" s="102"/>
      <c r="M1163" s="102"/>
      <c r="N1163" s="68"/>
      <c r="O1163" s="68"/>
      <c r="P1163" s="106"/>
      <c r="Q1163" s="107"/>
      <c r="R1163" s="107"/>
      <c r="S1163" s="107"/>
      <c r="T1163" s="107"/>
    </row>
    <row r="1164" spans="2:20" x14ac:dyDescent="0.25">
      <c r="B1164" s="68"/>
      <c r="C1164" s="68"/>
      <c r="D1164" s="68"/>
      <c r="E1164" s="68"/>
      <c r="F1164" s="68"/>
      <c r="G1164" s="100"/>
      <c r="H1164" s="91"/>
      <c r="I1164" s="91"/>
      <c r="J1164" s="68"/>
      <c r="K1164" s="69"/>
      <c r="L1164" s="102"/>
      <c r="M1164" s="102"/>
      <c r="N1164" s="68"/>
      <c r="O1164" s="68"/>
      <c r="P1164" s="106"/>
      <c r="Q1164" s="107"/>
      <c r="R1164" s="107"/>
      <c r="S1164" s="107"/>
      <c r="T1164" s="107"/>
    </row>
    <row r="1165" spans="2:20" x14ac:dyDescent="0.25">
      <c r="B1165" s="68"/>
      <c r="C1165" s="68"/>
      <c r="D1165" s="68"/>
      <c r="E1165" s="68"/>
      <c r="F1165" s="68"/>
      <c r="G1165" s="100"/>
      <c r="H1165" s="91"/>
      <c r="I1165" s="91"/>
      <c r="J1165" s="68"/>
      <c r="K1165" s="69"/>
      <c r="L1165" s="102"/>
      <c r="M1165" s="102"/>
      <c r="N1165" s="68"/>
      <c r="O1165" s="68"/>
      <c r="P1165" s="106"/>
      <c r="Q1165" s="107"/>
      <c r="R1165" s="107"/>
      <c r="S1165" s="107"/>
      <c r="T1165" s="107"/>
    </row>
    <row r="1166" spans="2:20" x14ac:dyDescent="0.25">
      <c r="B1166" s="68"/>
      <c r="C1166" s="68"/>
      <c r="D1166" s="68"/>
      <c r="E1166" s="68"/>
      <c r="F1166" s="68"/>
      <c r="G1166" s="100"/>
      <c r="H1166" s="91"/>
      <c r="I1166" s="91"/>
      <c r="J1166" s="68"/>
      <c r="K1166" s="69"/>
      <c r="L1166" s="102"/>
      <c r="M1166" s="102"/>
      <c r="N1166" s="68"/>
      <c r="O1166" s="68"/>
      <c r="P1166" s="106"/>
      <c r="Q1166" s="107"/>
      <c r="R1166" s="107"/>
      <c r="S1166" s="107"/>
      <c r="T1166" s="107"/>
    </row>
    <row r="1167" spans="2:20" x14ac:dyDescent="0.25">
      <c r="B1167" s="68"/>
      <c r="C1167" s="68"/>
      <c r="D1167" s="68"/>
      <c r="E1167" s="68"/>
      <c r="F1167" s="68"/>
      <c r="G1167" s="100"/>
      <c r="H1167" s="91"/>
      <c r="I1167" s="91"/>
      <c r="J1167" s="68"/>
      <c r="K1167" s="69"/>
      <c r="L1167" s="102"/>
      <c r="M1167" s="102"/>
      <c r="N1167" s="68"/>
      <c r="O1167" s="68"/>
      <c r="P1167" s="106"/>
      <c r="Q1167" s="107"/>
      <c r="R1167" s="107"/>
      <c r="S1167" s="107"/>
      <c r="T1167" s="107"/>
    </row>
    <row r="1168" spans="2:20" x14ac:dyDescent="0.25">
      <c r="B1168" s="68"/>
      <c r="C1168" s="68"/>
      <c r="D1168" s="68"/>
      <c r="E1168" s="68"/>
      <c r="F1168" s="68"/>
      <c r="G1168" s="100"/>
      <c r="H1168" s="91"/>
      <c r="I1168" s="91"/>
      <c r="J1168" s="68"/>
      <c r="K1168" s="69"/>
      <c r="L1168" s="102"/>
      <c r="M1168" s="102"/>
      <c r="N1168" s="68"/>
      <c r="O1168" s="68"/>
      <c r="P1168" s="106"/>
      <c r="Q1168" s="107"/>
      <c r="R1168" s="107"/>
      <c r="S1168" s="107"/>
      <c r="T1168" s="107"/>
    </row>
    <row r="1169" spans="2:20" x14ac:dyDescent="0.25">
      <c r="B1169" s="68"/>
      <c r="C1169" s="68"/>
      <c r="D1169" s="68"/>
      <c r="E1169" s="68"/>
      <c r="F1169" s="68"/>
      <c r="G1169" s="100"/>
      <c r="H1169" s="91"/>
      <c r="I1169" s="91"/>
      <c r="J1169" s="68"/>
      <c r="K1169" s="69"/>
      <c r="L1169" s="102"/>
      <c r="M1169" s="102"/>
      <c r="N1169" s="68"/>
      <c r="O1169" s="68"/>
      <c r="P1169" s="106"/>
      <c r="Q1169" s="107"/>
      <c r="R1169" s="107"/>
      <c r="S1169" s="107"/>
      <c r="T1169" s="107"/>
    </row>
    <row r="1170" spans="2:20" x14ac:dyDescent="0.25">
      <c r="B1170" s="68"/>
      <c r="C1170" s="68"/>
      <c r="D1170" s="68"/>
      <c r="E1170" s="68"/>
      <c r="F1170" s="68"/>
      <c r="G1170" s="100"/>
      <c r="H1170" s="91"/>
      <c r="I1170" s="91"/>
      <c r="J1170" s="68"/>
      <c r="K1170" s="69"/>
      <c r="L1170" s="102"/>
      <c r="M1170" s="102"/>
      <c r="N1170" s="68"/>
      <c r="O1170" s="68"/>
      <c r="P1170" s="106"/>
      <c r="Q1170" s="107"/>
      <c r="R1170" s="107"/>
      <c r="S1170" s="107"/>
      <c r="T1170" s="107"/>
    </row>
    <row r="1171" spans="2:20" x14ac:dyDescent="0.25">
      <c r="B1171" s="68"/>
      <c r="C1171" s="68"/>
      <c r="D1171" s="68"/>
      <c r="E1171" s="68"/>
      <c r="F1171" s="68"/>
      <c r="G1171" s="100"/>
      <c r="H1171" s="91"/>
      <c r="I1171" s="91"/>
      <c r="J1171" s="68"/>
      <c r="K1171" s="69"/>
      <c r="L1171" s="102"/>
      <c r="M1171" s="102"/>
      <c r="N1171" s="68"/>
      <c r="O1171" s="68"/>
      <c r="P1171" s="106"/>
      <c r="Q1171" s="107"/>
      <c r="R1171" s="107"/>
      <c r="S1171" s="107"/>
      <c r="T1171" s="107"/>
    </row>
    <row r="1172" spans="2:20" x14ac:dyDescent="0.25">
      <c r="B1172" s="68"/>
      <c r="C1172" s="68"/>
      <c r="D1172" s="68"/>
      <c r="E1172" s="68"/>
      <c r="F1172" s="68"/>
      <c r="G1172" s="100"/>
      <c r="H1172" s="91"/>
      <c r="I1172" s="91"/>
      <c r="J1172" s="68"/>
      <c r="K1172" s="69"/>
      <c r="L1172" s="102"/>
      <c r="M1172" s="102"/>
      <c r="N1172" s="68"/>
      <c r="O1172" s="68"/>
      <c r="P1172" s="106"/>
      <c r="Q1172" s="107"/>
      <c r="R1172" s="107"/>
      <c r="S1172" s="107"/>
      <c r="T1172" s="107"/>
    </row>
    <row r="1173" spans="2:20" x14ac:dyDescent="0.25">
      <c r="B1173" s="68"/>
      <c r="C1173" s="68"/>
      <c r="D1173" s="68"/>
      <c r="E1173" s="68"/>
      <c r="F1173" s="68"/>
      <c r="G1173" s="100"/>
      <c r="H1173" s="91"/>
      <c r="I1173" s="91"/>
      <c r="J1173" s="68"/>
      <c r="K1173" s="69"/>
      <c r="L1173" s="102"/>
      <c r="M1173" s="102"/>
      <c r="N1173" s="68"/>
      <c r="O1173" s="68"/>
      <c r="P1173" s="106"/>
      <c r="Q1173" s="107"/>
      <c r="R1173" s="107"/>
      <c r="S1173" s="107"/>
      <c r="T1173" s="107"/>
    </row>
    <row r="1174" spans="2:20" x14ac:dyDescent="0.25">
      <c r="B1174" s="68"/>
      <c r="C1174" s="68"/>
      <c r="D1174" s="68"/>
      <c r="E1174" s="68"/>
      <c r="F1174" s="68"/>
      <c r="G1174" s="100"/>
      <c r="H1174" s="91"/>
      <c r="I1174" s="91"/>
      <c r="J1174" s="68"/>
      <c r="K1174" s="69"/>
      <c r="L1174" s="102"/>
      <c r="M1174" s="102"/>
      <c r="N1174" s="68"/>
      <c r="O1174" s="68"/>
      <c r="P1174" s="106"/>
      <c r="Q1174" s="107"/>
      <c r="R1174" s="107"/>
      <c r="S1174" s="107"/>
      <c r="T1174" s="107"/>
    </row>
    <row r="1175" spans="2:20" x14ac:dyDescent="0.25">
      <c r="B1175" s="68"/>
      <c r="C1175" s="68"/>
      <c r="D1175" s="68"/>
      <c r="E1175" s="68"/>
      <c r="F1175" s="68"/>
      <c r="G1175" s="100"/>
      <c r="H1175" s="91"/>
      <c r="I1175" s="91"/>
      <c r="J1175" s="68"/>
      <c r="K1175" s="69"/>
      <c r="L1175" s="102"/>
      <c r="M1175" s="102"/>
      <c r="N1175" s="68"/>
      <c r="O1175" s="68"/>
      <c r="P1175" s="106"/>
      <c r="Q1175" s="107"/>
      <c r="R1175" s="107"/>
      <c r="S1175" s="107"/>
      <c r="T1175" s="107"/>
    </row>
    <row r="1176" spans="2:20" x14ac:dyDescent="0.25">
      <c r="B1176" s="68"/>
      <c r="C1176" s="68"/>
      <c r="D1176" s="68"/>
      <c r="E1176" s="68"/>
      <c r="F1176" s="68"/>
      <c r="G1176" s="100"/>
      <c r="H1176" s="91"/>
      <c r="I1176" s="91"/>
      <c r="J1176" s="68"/>
      <c r="K1176" s="69"/>
      <c r="L1176" s="102"/>
      <c r="M1176" s="102"/>
      <c r="N1176" s="68"/>
      <c r="O1176" s="68"/>
      <c r="P1176" s="106"/>
      <c r="Q1176" s="107"/>
      <c r="R1176" s="107"/>
      <c r="S1176" s="107"/>
      <c r="T1176" s="107"/>
    </row>
    <row r="1177" spans="2:20" x14ac:dyDescent="0.25">
      <c r="B1177" s="68"/>
      <c r="C1177" s="68"/>
      <c r="D1177" s="68"/>
      <c r="E1177" s="68"/>
      <c r="F1177" s="68"/>
      <c r="G1177" s="100"/>
      <c r="H1177" s="91"/>
      <c r="I1177" s="91"/>
      <c r="J1177" s="68"/>
      <c r="K1177" s="69"/>
      <c r="L1177" s="102"/>
      <c r="M1177" s="102"/>
      <c r="N1177" s="68"/>
      <c r="O1177" s="68"/>
      <c r="P1177" s="106"/>
      <c r="Q1177" s="107"/>
      <c r="R1177" s="107"/>
      <c r="S1177" s="107"/>
      <c r="T1177" s="107"/>
    </row>
    <row r="1178" spans="2:20" x14ac:dyDescent="0.25">
      <c r="B1178" s="68"/>
      <c r="C1178" s="68"/>
      <c r="D1178" s="68"/>
      <c r="E1178" s="68"/>
      <c r="F1178" s="68"/>
      <c r="G1178" s="100"/>
      <c r="H1178" s="91"/>
      <c r="I1178" s="91"/>
      <c r="J1178" s="68"/>
      <c r="K1178" s="69"/>
      <c r="L1178" s="102"/>
      <c r="M1178" s="102"/>
      <c r="N1178" s="68"/>
      <c r="O1178" s="68"/>
      <c r="P1178" s="106"/>
      <c r="Q1178" s="107"/>
      <c r="R1178" s="107"/>
      <c r="S1178" s="107"/>
      <c r="T1178" s="107"/>
    </row>
    <row r="1179" spans="2:20" x14ac:dyDescent="0.25">
      <c r="B1179" s="68"/>
      <c r="C1179" s="68"/>
      <c r="D1179" s="68"/>
      <c r="E1179" s="68"/>
      <c r="F1179" s="68"/>
      <c r="G1179" s="100"/>
      <c r="H1179" s="91"/>
      <c r="I1179" s="91"/>
      <c r="J1179" s="68"/>
      <c r="K1179" s="69"/>
      <c r="L1179" s="102"/>
      <c r="M1179" s="102"/>
      <c r="N1179" s="68"/>
      <c r="O1179" s="68"/>
      <c r="P1179" s="106"/>
      <c r="Q1179" s="107"/>
      <c r="R1179" s="107"/>
      <c r="S1179" s="107"/>
      <c r="T1179" s="107"/>
    </row>
    <row r="1180" spans="2:20" x14ac:dyDescent="0.25">
      <c r="B1180" s="68"/>
      <c r="C1180" s="68"/>
      <c r="D1180" s="68"/>
      <c r="E1180" s="68"/>
      <c r="F1180" s="68"/>
      <c r="G1180" s="100"/>
      <c r="H1180" s="91"/>
      <c r="I1180" s="91"/>
      <c r="J1180" s="68"/>
      <c r="K1180" s="69"/>
      <c r="L1180" s="102"/>
      <c r="M1180" s="102"/>
      <c r="N1180" s="68"/>
      <c r="O1180" s="68"/>
      <c r="P1180" s="106"/>
      <c r="Q1180" s="107"/>
      <c r="R1180" s="107"/>
      <c r="S1180" s="107"/>
      <c r="T1180" s="107"/>
    </row>
    <row r="1181" spans="2:20" x14ac:dyDescent="0.25">
      <c r="B1181" s="68"/>
      <c r="C1181" s="68"/>
      <c r="D1181" s="68"/>
      <c r="E1181" s="68"/>
      <c r="F1181" s="68"/>
      <c r="G1181" s="100"/>
      <c r="H1181" s="91"/>
      <c r="I1181" s="91"/>
      <c r="J1181" s="68"/>
      <c r="K1181" s="69"/>
      <c r="L1181" s="102"/>
      <c r="M1181" s="102"/>
      <c r="N1181" s="68"/>
      <c r="O1181" s="68"/>
      <c r="P1181" s="106"/>
      <c r="Q1181" s="107"/>
      <c r="R1181" s="107"/>
      <c r="S1181" s="107"/>
      <c r="T1181" s="107"/>
    </row>
    <row r="1182" spans="2:20" x14ac:dyDescent="0.25">
      <c r="B1182" s="68"/>
      <c r="C1182" s="68"/>
      <c r="D1182" s="68"/>
      <c r="E1182" s="68"/>
      <c r="F1182" s="68"/>
      <c r="G1182" s="100"/>
      <c r="H1182" s="91"/>
      <c r="I1182" s="91"/>
      <c r="J1182" s="68"/>
      <c r="K1182" s="69"/>
      <c r="L1182" s="102"/>
      <c r="M1182" s="102"/>
      <c r="N1182" s="68"/>
      <c r="O1182" s="68"/>
      <c r="P1182" s="106"/>
      <c r="Q1182" s="107"/>
      <c r="R1182" s="107"/>
      <c r="S1182" s="107"/>
      <c r="T1182" s="107"/>
    </row>
    <row r="1183" spans="2:20" x14ac:dyDescent="0.25">
      <c r="B1183" s="68"/>
      <c r="C1183" s="68"/>
      <c r="D1183" s="68"/>
      <c r="E1183" s="68"/>
      <c r="F1183" s="68"/>
      <c r="G1183" s="100"/>
      <c r="H1183" s="91"/>
      <c r="I1183" s="91"/>
      <c r="J1183" s="68"/>
      <c r="K1183" s="69"/>
      <c r="L1183" s="102"/>
      <c r="M1183" s="102"/>
      <c r="N1183" s="68"/>
      <c r="O1183" s="68"/>
      <c r="P1183" s="106"/>
      <c r="Q1183" s="107"/>
      <c r="R1183" s="107"/>
      <c r="S1183" s="107"/>
      <c r="T1183" s="107"/>
    </row>
    <row r="1184" spans="2:20" x14ac:dyDescent="0.25">
      <c r="B1184" s="68"/>
      <c r="C1184" s="68"/>
      <c r="D1184" s="68"/>
      <c r="E1184" s="68"/>
      <c r="F1184" s="68"/>
      <c r="G1184" s="100"/>
      <c r="H1184" s="91"/>
      <c r="I1184" s="91"/>
      <c r="J1184" s="68"/>
      <c r="K1184" s="69"/>
      <c r="L1184" s="102"/>
      <c r="M1184" s="102"/>
      <c r="N1184" s="68"/>
      <c r="O1184" s="68"/>
      <c r="P1184" s="106"/>
      <c r="Q1184" s="107"/>
      <c r="R1184" s="107"/>
      <c r="S1184" s="107"/>
      <c r="T1184" s="107"/>
    </row>
    <row r="1185" spans="2:20" x14ac:dyDescent="0.25">
      <c r="B1185" s="68"/>
      <c r="C1185" s="68"/>
      <c r="D1185" s="68"/>
      <c r="E1185" s="68"/>
      <c r="F1185" s="68"/>
      <c r="G1185" s="100"/>
      <c r="H1185" s="91"/>
      <c r="I1185" s="91"/>
      <c r="J1185" s="68"/>
      <c r="K1185" s="69"/>
      <c r="L1185" s="102"/>
      <c r="M1185" s="102"/>
      <c r="N1185" s="68"/>
      <c r="O1185" s="68"/>
      <c r="P1185" s="106"/>
      <c r="Q1185" s="107"/>
      <c r="R1185" s="107"/>
      <c r="S1185" s="107"/>
      <c r="T1185" s="107"/>
    </row>
    <row r="1186" spans="2:20" x14ac:dyDescent="0.25">
      <c r="B1186" s="68"/>
      <c r="C1186" s="68"/>
      <c r="D1186" s="68"/>
      <c r="E1186" s="68"/>
      <c r="F1186" s="68"/>
      <c r="G1186" s="100"/>
      <c r="H1186" s="91"/>
      <c r="I1186" s="91"/>
      <c r="J1186" s="68"/>
      <c r="K1186" s="69"/>
      <c r="L1186" s="102"/>
      <c r="M1186" s="102"/>
      <c r="N1186" s="68"/>
      <c r="O1186" s="68"/>
      <c r="P1186" s="106"/>
      <c r="Q1186" s="107"/>
      <c r="R1186" s="107"/>
      <c r="S1186" s="107"/>
      <c r="T1186" s="107"/>
    </row>
    <row r="1187" spans="2:20" x14ac:dyDescent="0.25">
      <c r="B1187" s="68"/>
      <c r="C1187" s="68"/>
      <c r="D1187" s="68"/>
      <c r="E1187" s="68"/>
      <c r="F1187" s="68"/>
      <c r="G1187" s="100"/>
      <c r="H1187" s="91"/>
      <c r="I1187" s="91"/>
      <c r="J1187" s="68"/>
      <c r="K1187" s="69"/>
      <c r="L1187" s="102"/>
      <c r="M1187" s="102"/>
      <c r="N1187" s="68"/>
      <c r="O1187" s="68"/>
      <c r="P1187" s="106"/>
      <c r="Q1187" s="107"/>
      <c r="R1187" s="107"/>
      <c r="S1187" s="107"/>
      <c r="T1187" s="107"/>
    </row>
    <row r="1188" spans="2:20" x14ac:dyDescent="0.25">
      <c r="B1188" s="68"/>
      <c r="C1188" s="68"/>
      <c r="D1188" s="68"/>
      <c r="E1188" s="68"/>
      <c r="F1188" s="68"/>
      <c r="G1188" s="100"/>
      <c r="H1188" s="91"/>
      <c r="I1188" s="91"/>
      <c r="J1188" s="68"/>
      <c r="K1188" s="69"/>
      <c r="L1188" s="102"/>
      <c r="M1188" s="102"/>
      <c r="N1188" s="68"/>
      <c r="O1188" s="68"/>
      <c r="P1188" s="106"/>
      <c r="Q1188" s="107"/>
      <c r="R1188" s="107"/>
      <c r="S1188" s="107"/>
      <c r="T1188" s="107"/>
    </row>
    <row r="1189" spans="2:20" x14ac:dyDescent="0.25">
      <c r="B1189" s="68"/>
      <c r="C1189" s="68"/>
      <c r="D1189" s="68"/>
      <c r="E1189" s="68"/>
      <c r="F1189" s="68"/>
      <c r="G1189" s="100"/>
      <c r="H1189" s="91"/>
      <c r="I1189" s="91"/>
      <c r="J1189" s="68"/>
      <c r="K1189" s="69"/>
      <c r="L1189" s="102"/>
      <c r="M1189" s="102"/>
      <c r="N1189" s="68"/>
      <c r="O1189" s="68"/>
      <c r="P1189" s="106"/>
      <c r="Q1189" s="107"/>
      <c r="R1189" s="107"/>
      <c r="S1189" s="107"/>
      <c r="T1189" s="107"/>
    </row>
    <row r="1190" spans="2:20" x14ac:dyDescent="0.25">
      <c r="B1190" s="68"/>
      <c r="C1190" s="68"/>
      <c r="D1190" s="68"/>
      <c r="E1190" s="68"/>
      <c r="F1190" s="68"/>
      <c r="G1190" s="100"/>
      <c r="H1190" s="91"/>
      <c r="I1190" s="91"/>
      <c r="J1190" s="68"/>
      <c r="K1190" s="69"/>
      <c r="L1190" s="102"/>
      <c r="M1190" s="102"/>
      <c r="N1190" s="68"/>
      <c r="O1190" s="68"/>
      <c r="P1190" s="106"/>
      <c r="Q1190" s="107"/>
      <c r="R1190" s="107"/>
      <c r="S1190" s="107"/>
      <c r="T1190" s="107"/>
    </row>
    <row r="1191" spans="2:20" x14ac:dyDescent="0.25">
      <c r="B1191" s="68"/>
      <c r="C1191" s="68"/>
      <c r="D1191" s="68"/>
      <c r="E1191" s="68"/>
      <c r="F1191" s="68"/>
      <c r="G1191" s="100"/>
      <c r="H1191" s="91"/>
      <c r="I1191" s="91"/>
      <c r="J1191" s="68"/>
      <c r="K1191" s="69"/>
      <c r="L1191" s="102"/>
      <c r="M1191" s="102"/>
      <c r="N1191" s="68"/>
      <c r="O1191" s="68"/>
      <c r="P1191" s="106"/>
      <c r="Q1191" s="107"/>
      <c r="R1191" s="107"/>
      <c r="S1191" s="107"/>
      <c r="T1191" s="107"/>
    </row>
    <row r="1192" spans="2:20" x14ac:dyDescent="0.25">
      <c r="B1192" s="68"/>
      <c r="C1192" s="68"/>
      <c r="D1192" s="68"/>
      <c r="E1192" s="68"/>
      <c r="F1192" s="68"/>
      <c r="G1192" s="100"/>
      <c r="H1192" s="91"/>
      <c r="I1192" s="91"/>
      <c r="J1192" s="68"/>
      <c r="K1192" s="69"/>
      <c r="L1192" s="102"/>
      <c r="M1192" s="102"/>
      <c r="N1192" s="68"/>
      <c r="O1192" s="68"/>
      <c r="P1192" s="106"/>
      <c r="Q1192" s="107"/>
      <c r="R1192" s="107"/>
      <c r="S1192" s="107"/>
      <c r="T1192" s="107"/>
    </row>
    <row r="1193" spans="2:20" x14ac:dyDescent="0.25">
      <c r="B1193" s="68"/>
      <c r="C1193" s="68"/>
      <c r="D1193" s="68"/>
      <c r="E1193" s="68"/>
      <c r="F1193" s="68"/>
      <c r="G1193" s="100"/>
      <c r="H1193" s="91"/>
      <c r="I1193" s="91"/>
      <c r="J1193" s="68"/>
      <c r="K1193" s="69"/>
      <c r="L1193" s="102"/>
      <c r="M1193" s="102"/>
      <c r="N1193" s="68"/>
      <c r="O1193" s="68"/>
      <c r="P1193" s="106"/>
      <c r="Q1193" s="107"/>
      <c r="R1193" s="107"/>
      <c r="S1193" s="107"/>
      <c r="T1193" s="107"/>
    </row>
    <row r="1194" spans="2:20" x14ac:dyDescent="0.25">
      <c r="B1194" s="68"/>
      <c r="C1194" s="68"/>
      <c r="D1194" s="68"/>
      <c r="E1194" s="68"/>
      <c r="F1194" s="68"/>
      <c r="G1194" s="100"/>
      <c r="H1194" s="91"/>
      <c r="I1194" s="91"/>
      <c r="J1194" s="68"/>
      <c r="K1194" s="69"/>
      <c r="L1194" s="102"/>
      <c r="M1194" s="102"/>
      <c r="N1194" s="68"/>
      <c r="O1194" s="68"/>
      <c r="P1194" s="106"/>
      <c r="Q1194" s="107"/>
      <c r="R1194" s="107"/>
      <c r="S1194" s="107"/>
      <c r="T1194" s="107"/>
    </row>
    <row r="1195" spans="2:20" x14ac:dyDescent="0.25">
      <c r="B1195" s="68"/>
      <c r="C1195" s="68"/>
      <c r="D1195" s="68"/>
      <c r="E1195" s="68"/>
      <c r="F1195" s="68"/>
      <c r="G1195" s="100"/>
      <c r="H1195" s="91"/>
      <c r="I1195" s="91"/>
      <c r="J1195" s="68"/>
      <c r="K1195" s="69"/>
      <c r="L1195" s="102"/>
      <c r="M1195" s="102"/>
      <c r="N1195" s="68"/>
      <c r="O1195" s="68"/>
      <c r="P1195" s="106"/>
      <c r="Q1195" s="107"/>
      <c r="R1195" s="107"/>
      <c r="S1195" s="107"/>
      <c r="T1195" s="107"/>
    </row>
    <row r="1196" spans="2:20" x14ac:dyDescent="0.25">
      <c r="B1196" s="68"/>
      <c r="C1196" s="68"/>
      <c r="D1196" s="68"/>
      <c r="E1196" s="68"/>
      <c r="F1196" s="68"/>
      <c r="G1196" s="100"/>
      <c r="H1196" s="91"/>
      <c r="I1196" s="91"/>
      <c r="J1196" s="68"/>
      <c r="K1196" s="69"/>
      <c r="L1196" s="102"/>
      <c r="M1196" s="102"/>
      <c r="N1196" s="68"/>
      <c r="O1196" s="68"/>
      <c r="P1196" s="106"/>
      <c r="Q1196" s="107"/>
      <c r="R1196" s="107"/>
      <c r="S1196" s="107"/>
      <c r="T1196" s="107"/>
    </row>
    <row r="1197" spans="2:20" x14ac:dyDescent="0.25">
      <c r="B1197" s="68"/>
      <c r="C1197" s="68"/>
      <c r="D1197" s="68"/>
      <c r="E1197" s="68"/>
      <c r="F1197" s="68"/>
      <c r="G1197" s="100"/>
      <c r="H1197" s="91"/>
      <c r="I1197" s="91"/>
      <c r="J1197" s="68"/>
      <c r="K1197" s="69"/>
      <c r="L1197" s="102"/>
      <c r="M1197" s="102"/>
      <c r="N1197" s="68"/>
      <c r="O1197" s="68"/>
      <c r="P1197" s="106"/>
      <c r="Q1197" s="107"/>
      <c r="R1197" s="107"/>
      <c r="S1197" s="107"/>
      <c r="T1197" s="107"/>
    </row>
    <row r="1198" spans="2:20" x14ac:dyDescent="0.25">
      <c r="B1198" s="68"/>
      <c r="C1198" s="68"/>
      <c r="D1198" s="68"/>
      <c r="E1198" s="68"/>
      <c r="F1198" s="68"/>
      <c r="G1198" s="100"/>
      <c r="H1198" s="91"/>
      <c r="I1198" s="91"/>
      <c r="J1198" s="68"/>
      <c r="K1198" s="69"/>
      <c r="L1198" s="102"/>
      <c r="M1198" s="102"/>
      <c r="N1198" s="68"/>
      <c r="O1198" s="68"/>
      <c r="P1198" s="106"/>
      <c r="Q1198" s="107"/>
      <c r="R1198" s="107"/>
      <c r="S1198" s="107"/>
      <c r="T1198" s="107"/>
    </row>
    <row r="1199" spans="2:20" x14ac:dyDescent="0.25">
      <c r="B1199" s="68"/>
      <c r="C1199" s="68"/>
      <c r="D1199" s="68"/>
      <c r="E1199" s="68"/>
      <c r="F1199" s="68"/>
      <c r="G1199" s="100"/>
      <c r="H1199" s="91"/>
      <c r="I1199" s="91"/>
      <c r="J1199" s="68"/>
      <c r="K1199" s="69"/>
      <c r="L1199" s="102"/>
      <c r="M1199" s="102"/>
      <c r="N1199" s="68"/>
      <c r="O1199" s="68"/>
      <c r="P1199" s="106"/>
      <c r="Q1199" s="107"/>
      <c r="R1199" s="107"/>
      <c r="S1199" s="107"/>
      <c r="T1199" s="107"/>
    </row>
    <row r="1200" spans="2:20" x14ac:dyDescent="0.25">
      <c r="B1200" s="68"/>
      <c r="C1200" s="68"/>
      <c r="D1200" s="68"/>
      <c r="E1200" s="68"/>
      <c r="F1200" s="68"/>
      <c r="G1200" s="100"/>
      <c r="H1200" s="91"/>
      <c r="I1200" s="91"/>
      <c r="J1200" s="68"/>
      <c r="K1200" s="69"/>
      <c r="L1200" s="102"/>
      <c r="M1200" s="102"/>
      <c r="N1200" s="68"/>
      <c r="O1200" s="68"/>
      <c r="P1200" s="106"/>
      <c r="Q1200" s="107"/>
      <c r="R1200" s="107"/>
      <c r="S1200" s="107"/>
      <c r="T1200" s="107"/>
    </row>
    <row r="1201" spans="2:20" x14ac:dyDescent="0.25">
      <c r="B1201" s="68"/>
      <c r="C1201" s="68"/>
      <c r="D1201" s="68"/>
      <c r="E1201" s="68"/>
      <c r="F1201" s="68"/>
      <c r="G1201" s="100"/>
      <c r="H1201" s="91"/>
      <c r="I1201" s="91"/>
      <c r="J1201" s="68"/>
      <c r="K1201" s="69"/>
      <c r="L1201" s="102"/>
      <c r="M1201" s="102"/>
      <c r="N1201" s="68"/>
      <c r="O1201" s="68"/>
      <c r="P1201" s="106"/>
      <c r="Q1201" s="107"/>
      <c r="R1201" s="107"/>
      <c r="S1201" s="107"/>
      <c r="T1201" s="107"/>
    </row>
    <row r="1202" spans="2:20" x14ac:dyDescent="0.25">
      <c r="B1202" s="68"/>
      <c r="C1202" s="68"/>
      <c r="D1202" s="68"/>
      <c r="E1202" s="68"/>
      <c r="F1202" s="68"/>
      <c r="G1202" s="100"/>
      <c r="H1202" s="91"/>
      <c r="I1202" s="91"/>
      <c r="J1202" s="68"/>
      <c r="K1202" s="69"/>
      <c r="L1202" s="102"/>
      <c r="M1202" s="102"/>
      <c r="N1202" s="68"/>
      <c r="O1202" s="68"/>
      <c r="P1202" s="106"/>
      <c r="Q1202" s="107"/>
      <c r="R1202" s="107"/>
      <c r="S1202" s="107"/>
      <c r="T1202" s="107"/>
    </row>
    <row r="1203" spans="2:20" x14ac:dyDescent="0.25">
      <c r="B1203" s="68"/>
      <c r="C1203" s="68"/>
      <c r="D1203" s="68"/>
      <c r="E1203" s="68"/>
      <c r="F1203" s="68"/>
      <c r="G1203" s="100"/>
      <c r="H1203" s="91"/>
      <c r="I1203" s="91"/>
      <c r="J1203" s="68"/>
      <c r="K1203" s="69"/>
      <c r="L1203" s="102"/>
      <c r="M1203" s="102"/>
      <c r="N1203" s="68"/>
      <c r="O1203" s="68"/>
      <c r="P1203" s="106"/>
      <c r="Q1203" s="107"/>
      <c r="R1203" s="107"/>
      <c r="S1203" s="107"/>
      <c r="T1203" s="107"/>
    </row>
    <row r="1204" spans="2:20" x14ac:dyDescent="0.25">
      <c r="B1204" s="68"/>
      <c r="C1204" s="68"/>
      <c r="D1204" s="68"/>
      <c r="E1204" s="68"/>
      <c r="F1204" s="68"/>
      <c r="G1204" s="100"/>
      <c r="H1204" s="91"/>
      <c r="I1204" s="91"/>
      <c r="J1204" s="68"/>
      <c r="K1204" s="69"/>
      <c r="L1204" s="102"/>
      <c r="M1204" s="102"/>
      <c r="N1204" s="68"/>
      <c r="O1204" s="68"/>
      <c r="P1204" s="106"/>
      <c r="Q1204" s="107"/>
      <c r="R1204" s="107"/>
      <c r="S1204" s="107"/>
      <c r="T1204" s="107"/>
    </row>
    <row r="1205" spans="2:20" x14ac:dyDescent="0.25">
      <c r="B1205" s="68"/>
      <c r="C1205" s="68"/>
      <c r="D1205" s="68"/>
      <c r="E1205" s="68"/>
      <c r="F1205" s="68"/>
      <c r="G1205" s="100"/>
      <c r="H1205" s="91"/>
      <c r="I1205" s="91"/>
      <c r="J1205" s="68"/>
      <c r="K1205" s="69"/>
      <c r="L1205" s="102"/>
      <c r="M1205" s="102"/>
      <c r="N1205" s="68"/>
      <c r="O1205" s="68"/>
      <c r="P1205" s="106"/>
      <c r="Q1205" s="107"/>
      <c r="R1205" s="107"/>
      <c r="S1205" s="107"/>
      <c r="T1205" s="107"/>
    </row>
    <row r="1206" spans="2:20" x14ac:dyDescent="0.25">
      <c r="B1206" s="68"/>
      <c r="C1206" s="68"/>
      <c r="D1206" s="68"/>
      <c r="E1206" s="68"/>
      <c r="F1206" s="68"/>
      <c r="G1206" s="100"/>
      <c r="H1206" s="91"/>
      <c r="I1206" s="91"/>
      <c r="J1206" s="68"/>
      <c r="K1206" s="69"/>
      <c r="L1206" s="102"/>
      <c r="M1206" s="102"/>
      <c r="N1206" s="68"/>
      <c r="O1206" s="68"/>
      <c r="P1206" s="106"/>
      <c r="Q1206" s="107"/>
      <c r="R1206" s="107"/>
      <c r="S1206" s="107"/>
      <c r="T1206" s="107"/>
    </row>
    <row r="1207" spans="2:20" x14ac:dyDescent="0.25">
      <c r="B1207" s="68"/>
      <c r="C1207" s="68"/>
      <c r="D1207" s="68"/>
      <c r="E1207" s="68"/>
      <c r="F1207" s="68"/>
      <c r="G1207" s="100"/>
      <c r="H1207" s="91"/>
      <c r="I1207" s="91"/>
      <c r="J1207" s="68"/>
      <c r="K1207" s="69"/>
      <c r="L1207" s="102"/>
      <c r="M1207" s="102"/>
      <c r="N1207" s="68"/>
      <c r="O1207" s="68"/>
      <c r="P1207" s="106"/>
      <c r="Q1207" s="107"/>
      <c r="R1207" s="107"/>
      <c r="S1207" s="107"/>
      <c r="T1207" s="107"/>
    </row>
    <row r="1208" spans="2:20" x14ac:dyDescent="0.25">
      <c r="B1208" s="68"/>
      <c r="C1208" s="68"/>
      <c r="D1208" s="68"/>
      <c r="E1208" s="68"/>
      <c r="F1208" s="68"/>
      <c r="G1208" s="100"/>
      <c r="H1208" s="91"/>
      <c r="I1208" s="91"/>
      <c r="J1208" s="68"/>
      <c r="K1208" s="69"/>
      <c r="L1208" s="102"/>
      <c r="M1208" s="102"/>
      <c r="N1208" s="68"/>
      <c r="O1208" s="68"/>
      <c r="P1208" s="106"/>
      <c r="Q1208" s="107"/>
      <c r="R1208" s="107"/>
      <c r="S1208" s="107"/>
      <c r="T1208" s="107"/>
    </row>
    <row r="1209" spans="2:20" x14ac:dyDescent="0.25">
      <c r="B1209" s="68"/>
      <c r="C1209" s="68"/>
      <c r="D1209" s="68"/>
      <c r="E1209" s="68"/>
      <c r="F1209" s="68"/>
      <c r="G1209" s="100"/>
      <c r="H1209" s="91"/>
      <c r="I1209" s="91"/>
      <c r="J1209" s="68"/>
      <c r="K1209" s="69"/>
      <c r="L1209" s="102"/>
      <c r="M1209" s="102"/>
      <c r="N1209" s="68"/>
      <c r="O1209" s="68"/>
      <c r="P1209" s="106"/>
      <c r="Q1209" s="107"/>
      <c r="R1209" s="107"/>
      <c r="S1209" s="107"/>
      <c r="T1209" s="107"/>
    </row>
    <row r="1210" spans="2:20" x14ac:dyDescent="0.25">
      <c r="B1210" s="68"/>
      <c r="C1210" s="68"/>
      <c r="D1210" s="68"/>
      <c r="E1210" s="68"/>
      <c r="F1210" s="68"/>
      <c r="G1210" s="100"/>
      <c r="H1210" s="91"/>
      <c r="I1210" s="91"/>
      <c r="J1210" s="68"/>
      <c r="K1210" s="69"/>
      <c r="L1210" s="102"/>
      <c r="M1210" s="102"/>
      <c r="N1210" s="68"/>
      <c r="O1210" s="68"/>
      <c r="P1210" s="106"/>
      <c r="Q1210" s="107"/>
      <c r="R1210" s="107"/>
      <c r="S1210" s="107"/>
      <c r="T1210" s="107"/>
    </row>
    <row r="1211" spans="2:20" x14ac:dyDescent="0.25">
      <c r="B1211" s="68"/>
      <c r="C1211" s="68"/>
      <c r="D1211" s="68"/>
      <c r="E1211" s="68"/>
      <c r="F1211" s="68"/>
      <c r="G1211" s="100"/>
      <c r="H1211" s="91"/>
      <c r="I1211" s="91"/>
      <c r="J1211" s="68"/>
      <c r="K1211" s="69"/>
      <c r="L1211" s="102"/>
      <c r="M1211" s="102"/>
      <c r="N1211" s="68"/>
      <c r="O1211" s="68"/>
      <c r="P1211" s="106"/>
      <c r="Q1211" s="107"/>
      <c r="R1211" s="107"/>
      <c r="S1211" s="107"/>
      <c r="T1211" s="107"/>
    </row>
    <row r="1212" spans="2:20" x14ac:dyDescent="0.25">
      <c r="B1212" s="68"/>
      <c r="C1212" s="68"/>
      <c r="D1212" s="68"/>
      <c r="E1212" s="68"/>
      <c r="F1212" s="68"/>
      <c r="G1212" s="100"/>
      <c r="H1212" s="91"/>
      <c r="I1212" s="91"/>
      <c r="J1212" s="68"/>
      <c r="K1212" s="69"/>
      <c r="L1212" s="102"/>
      <c r="M1212" s="102"/>
      <c r="N1212" s="68"/>
      <c r="O1212" s="68"/>
      <c r="P1212" s="106"/>
      <c r="Q1212" s="107"/>
      <c r="R1212" s="107"/>
      <c r="S1212" s="107"/>
      <c r="T1212" s="107"/>
    </row>
    <row r="1213" spans="2:20" x14ac:dyDescent="0.25">
      <c r="B1213" s="68"/>
      <c r="C1213" s="68"/>
      <c r="D1213" s="68"/>
      <c r="E1213" s="68"/>
      <c r="F1213" s="68"/>
      <c r="G1213" s="100"/>
      <c r="H1213" s="91"/>
      <c r="I1213" s="91"/>
      <c r="J1213" s="68"/>
      <c r="K1213" s="69"/>
      <c r="L1213" s="102"/>
      <c r="M1213" s="102"/>
      <c r="N1213" s="68"/>
      <c r="O1213" s="68"/>
      <c r="P1213" s="106"/>
      <c r="Q1213" s="107"/>
      <c r="R1213" s="107"/>
      <c r="S1213" s="107"/>
      <c r="T1213" s="107"/>
    </row>
    <row r="1214" spans="2:20" x14ac:dyDescent="0.25">
      <c r="B1214" s="68"/>
      <c r="C1214" s="68"/>
      <c r="D1214" s="68"/>
      <c r="E1214" s="68"/>
      <c r="F1214" s="68"/>
      <c r="G1214" s="100"/>
      <c r="H1214" s="91"/>
      <c r="I1214" s="91"/>
      <c r="J1214" s="68"/>
      <c r="K1214" s="69"/>
      <c r="L1214" s="102"/>
      <c r="M1214" s="102"/>
      <c r="N1214" s="68"/>
      <c r="O1214" s="68"/>
      <c r="P1214" s="106"/>
      <c r="Q1214" s="107"/>
      <c r="R1214" s="107"/>
      <c r="S1214" s="107"/>
      <c r="T1214" s="107"/>
    </row>
    <row r="1215" spans="2:20" x14ac:dyDescent="0.25">
      <c r="B1215" s="68"/>
      <c r="C1215" s="68"/>
      <c r="D1215" s="68"/>
      <c r="E1215" s="68"/>
      <c r="F1215" s="68"/>
      <c r="G1215" s="100"/>
      <c r="H1215" s="91"/>
      <c r="I1215" s="91"/>
      <c r="J1215" s="68"/>
      <c r="K1215" s="69"/>
      <c r="L1215" s="102"/>
      <c r="M1215" s="102"/>
      <c r="N1215" s="68"/>
      <c r="O1215" s="68"/>
      <c r="P1215" s="106"/>
      <c r="Q1215" s="107"/>
      <c r="R1215" s="107"/>
      <c r="S1215" s="107"/>
      <c r="T1215" s="107"/>
    </row>
    <row r="1216" spans="2:20" x14ac:dyDescent="0.25">
      <c r="B1216" s="68"/>
      <c r="C1216" s="68"/>
      <c r="D1216" s="68"/>
      <c r="E1216" s="68"/>
      <c r="F1216" s="68"/>
      <c r="G1216" s="100"/>
      <c r="H1216" s="91"/>
      <c r="I1216" s="91"/>
      <c r="J1216" s="68"/>
      <c r="K1216" s="69"/>
      <c r="L1216" s="102"/>
      <c r="M1216" s="102"/>
      <c r="N1216" s="68"/>
      <c r="O1216" s="68"/>
      <c r="P1216" s="106"/>
      <c r="Q1216" s="107"/>
      <c r="R1216" s="107"/>
      <c r="S1216" s="107"/>
      <c r="T1216" s="107"/>
    </row>
    <row r="1217" spans="2:20" x14ac:dyDescent="0.25">
      <c r="B1217" s="68"/>
      <c r="C1217" s="68"/>
      <c r="D1217" s="68"/>
      <c r="E1217" s="68"/>
      <c r="F1217" s="68"/>
      <c r="G1217" s="100"/>
      <c r="H1217" s="91"/>
      <c r="I1217" s="91"/>
      <c r="J1217" s="68"/>
      <c r="K1217" s="69"/>
      <c r="L1217" s="102"/>
      <c r="M1217" s="102"/>
      <c r="N1217" s="68"/>
      <c r="O1217" s="68"/>
      <c r="P1217" s="106"/>
      <c r="Q1217" s="107"/>
      <c r="R1217" s="107"/>
      <c r="S1217" s="107"/>
      <c r="T1217" s="107"/>
    </row>
    <row r="1218" spans="2:20" x14ac:dyDescent="0.25">
      <c r="B1218" s="68"/>
      <c r="C1218" s="68"/>
      <c r="D1218" s="68"/>
      <c r="E1218" s="68"/>
      <c r="F1218" s="68"/>
      <c r="G1218" s="100"/>
      <c r="H1218" s="91"/>
      <c r="I1218" s="91"/>
      <c r="J1218" s="68"/>
      <c r="K1218" s="69"/>
      <c r="L1218" s="102"/>
      <c r="M1218" s="102"/>
      <c r="N1218" s="68"/>
      <c r="O1218" s="68"/>
      <c r="P1218" s="106"/>
      <c r="Q1218" s="107"/>
      <c r="R1218" s="107"/>
      <c r="S1218" s="107"/>
      <c r="T1218" s="107"/>
    </row>
    <row r="1219" spans="2:20" x14ac:dyDescent="0.25">
      <c r="B1219" s="68"/>
      <c r="C1219" s="68"/>
      <c r="D1219" s="68"/>
      <c r="E1219" s="68"/>
      <c r="F1219" s="68"/>
      <c r="G1219" s="100"/>
      <c r="H1219" s="91"/>
      <c r="I1219" s="91"/>
      <c r="J1219" s="68"/>
      <c r="K1219" s="69"/>
      <c r="L1219" s="102"/>
      <c r="M1219" s="102"/>
      <c r="N1219" s="68"/>
      <c r="O1219" s="68"/>
      <c r="P1219" s="106"/>
      <c r="Q1219" s="107"/>
      <c r="R1219" s="107"/>
      <c r="S1219" s="107"/>
      <c r="T1219" s="107"/>
    </row>
    <row r="1220" spans="2:20" x14ac:dyDescent="0.25">
      <c r="B1220" s="68"/>
      <c r="C1220" s="68"/>
      <c r="D1220" s="68"/>
      <c r="E1220" s="68"/>
      <c r="F1220" s="68"/>
      <c r="G1220" s="100"/>
      <c r="H1220" s="91"/>
      <c r="I1220" s="91"/>
      <c r="J1220" s="68"/>
      <c r="K1220" s="69"/>
      <c r="L1220" s="102"/>
      <c r="M1220" s="102"/>
      <c r="N1220" s="68"/>
      <c r="O1220" s="68"/>
      <c r="P1220" s="106"/>
      <c r="Q1220" s="107"/>
      <c r="R1220" s="107"/>
      <c r="S1220" s="107"/>
      <c r="T1220" s="107"/>
    </row>
    <row r="1221" spans="2:20" x14ac:dyDescent="0.25">
      <c r="B1221" s="68"/>
      <c r="C1221" s="68"/>
      <c r="D1221" s="68"/>
      <c r="E1221" s="68"/>
      <c r="F1221" s="68"/>
      <c r="G1221" s="100"/>
      <c r="H1221" s="91"/>
      <c r="I1221" s="91"/>
      <c r="J1221" s="68"/>
      <c r="K1221" s="69"/>
      <c r="L1221" s="102"/>
      <c r="M1221" s="102"/>
      <c r="N1221" s="68"/>
      <c r="O1221" s="68"/>
      <c r="P1221" s="106"/>
      <c r="Q1221" s="107"/>
      <c r="R1221" s="107"/>
      <c r="S1221" s="107"/>
      <c r="T1221" s="107"/>
    </row>
    <row r="1222" spans="2:20" x14ac:dyDescent="0.25">
      <c r="B1222" s="68"/>
      <c r="C1222" s="68"/>
      <c r="D1222" s="68"/>
      <c r="E1222" s="68"/>
      <c r="F1222" s="68"/>
      <c r="G1222" s="100"/>
      <c r="H1222" s="91"/>
      <c r="I1222" s="91"/>
      <c r="J1222" s="68"/>
      <c r="K1222" s="69"/>
      <c r="L1222" s="102"/>
      <c r="M1222" s="102"/>
      <c r="N1222" s="68"/>
      <c r="O1222" s="68"/>
      <c r="P1222" s="106"/>
      <c r="Q1222" s="107"/>
      <c r="R1222" s="107"/>
      <c r="S1222" s="107"/>
      <c r="T1222" s="107"/>
    </row>
    <row r="1223" spans="2:20" x14ac:dyDescent="0.25">
      <c r="B1223" s="68"/>
      <c r="C1223" s="68"/>
      <c r="D1223" s="68"/>
      <c r="E1223" s="68"/>
      <c r="F1223" s="68"/>
      <c r="G1223" s="100"/>
      <c r="H1223" s="91"/>
      <c r="I1223" s="91"/>
      <c r="J1223" s="68"/>
      <c r="K1223" s="69"/>
      <c r="L1223" s="102"/>
      <c r="M1223" s="102"/>
      <c r="N1223" s="68"/>
      <c r="O1223" s="68"/>
      <c r="P1223" s="106"/>
      <c r="Q1223" s="107"/>
      <c r="R1223" s="107"/>
      <c r="S1223" s="107"/>
      <c r="T1223" s="107"/>
    </row>
    <row r="1224" spans="2:20" x14ac:dyDescent="0.25">
      <c r="B1224" s="68"/>
      <c r="C1224" s="68"/>
      <c r="D1224" s="68"/>
      <c r="E1224" s="68"/>
      <c r="F1224" s="68"/>
      <c r="G1224" s="100"/>
      <c r="H1224" s="91"/>
      <c r="I1224" s="91"/>
      <c r="J1224" s="68"/>
      <c r="K1224" s="69"/>
      <c r="L1224" s="102"/>
      <c r="M1224" s="102"/>
      <c r="N1224" s="68"/>
      <c r="O1224" s="68"/>
      <c r="P1224" s="106"/>
      <c r="Q1224" s="107"/>
      <c r="R1224" s="107"/>
      <c r="S1224" s="107"/>
      <c r="T1224" s="107"/>
    </row>
    <row r="1225" spans="2:20" x14ac:dyDescent="0.25">
      <c r="B1225" s="68"/>
      <c r="C1225" s="68"/>
      <c r="D1225" s="68"/>
      <c r="E1225" s="68"/>
      <c r="F1225" s="68"/>
      <c r="G1225" s="100"/>
      <c r="H1225" s="91"/>
      <c r="I1225" s="91"/>
      <c r="J1225" s="68"/>
      <c r="K1225" s="69"/>
      <c r="L1225" s="102"/>
      <c r="M1225" s="102"/>
      <c r="N1225" s="68"/>
      <c r="O1225" s="68"/>
      <c r="P1225" s="106"/>
      <c r="Q1225" s="107"/>
      <c r="R1225" s="107"/>
      <c r="S1225" s="107"/>
      <c r="T1225" s="107"/>
    </row>
    <row r="1226" spans="2:20" x14ac:dyDescent="0.25">
      <c r="B1226" s="68"/>
      <c r="C1226" s="68"/>
      <c r="D1226" s="68"/>
      <c r="E1226" s="68"/>
      <c r="F1226" s="68"/>
      <c r="G1226" s="100"/>
      <c r="H1226" s="91"/>
      <c r="I1226" s="91"/>
      <c r="J1226" s="68"/>
      <c r="K1226" s="69"/>
      <c r="L1226" s="102"/>
      <c r="M1226" s="102"/>
      <c r="N1226" s="68"/>
      <c r="O1226" s="68"/>
      <c r="P1226" s="106"/>
      <c r="Q1226" s="107"/>
      <c r="R1226" s="107"/>
      <c r="S1226" s="107"/>
      <c r="T1226" s="107"/>
    </row>
    <row r="1227" spans="2:20" x14ac:dyDescent="0.25">
      <c r="B1227" s="68"/>
      <c r="C1227" s="68"/>
      <c r="D1227" s="68"/>
      <c r="E1227" s="68"/>
      <c r="F1227" s="68"/>
      <c r="G1227" s="100"/>
      <c r="H1227" s="91"/>
      <c r="I1227" s="91"/>
      <c r="J1227" s="68"/>
      <c r="K1227" s="69"/>
      <c r="L1227" s="102"/>
      <c r="M1227" s="102"/>
      <c r="N1227" s="68"/>
      <c r="O1227" s="68"/>
      <c r="P1227" s="106"/>
      <c r="Q1227" s="107"/>
      <c r="R1227" s="107"/>
      <c r="S1227" s="107"/>
      <c r="T1227" s="107"/>
    </row>
    <row r="1228" spans="2:20" x14ac:dyDescent="0.25">
      <c r="B1228" s="68"/>
      <c r="C1228" s="68"/>
      <c r="D1228" s="68"/>
      <c r="E1228" s="68"/>
      <c r="F1228" s="68"/>
      <c r="G1228" s="100"/>
      <c r="H1228" s="91"/>
      <c r="I1228" s="91"/>
      <c r="J1228" s="68"/>
      <c r="K1228" s="69"/>
      <c r="L1228" s="102"/>
      <c r="M1228" s="102"/>
      <c r="N1228" s="68"/>
      <c r="O1228" s="68"/>
      <c r="P1228" s="106"/>
      <c r="Q1228" s="107"/>
      <c r="R1228" s="107"/>
      <c r="S1228" s="107"/>
      <c r="T1228" s="107"/>
    </row>
    <row r="1229" spans="2:20" x14ac:dyDescent="0.25">
      <c r="B1229" s="68"/>
      <c r="C1229" s="68"/>
      <c r="D1229" s="68"/>
      <c r="E1229" s="68"/>
      <c r="F1229" s="68"/>
      <c r="G1229" s="100"/>
      <c r="H1229" s="91"/>
      <c r="I1229" s="91"/>
      <c r="J1229" s="68"/>
      <c r="K1229" s="69"/>
      <c r="L1229" s="102"/>
      <c r="M1229" s="102"/>
      <c r="N1229" s="68"/>
      <c r="O1229" s="68"/>
      <c r="P1229" s="106"/>
      <c r="Q1229" s="107"/>
      <c r="R1229" s="107"/>
      <c r="S1229" s="107"/>
      <c r="T1229" s="107"/>
    </row>
    <row r="1230" spans="2:20" x14ac:dyDescent="0.25">
      <c r="B1230" s="68"/>
      <c r="C1230" s="68"/>
      <c r="D1230" s="68"/>
      <c r="E1230" s="68"/>
      <c r="F1230" s="68"/>
      <c r="G1230" s="100"/>
      <c r="H1230" s="91"/>
      <c r="I1230" s="91"/>
      <c r="J1230" s="68"/>
      <c r="K1230" s="69"/>
      <c r="L1230" s="102"/>
      <c r="M1230" s="102"/>
      <c r="N1230" s="68"/>
      <c r="O1230" s="68"/>
      <c r="P1230" s="106"/>
      <c r="Q1230" s="107"/>
      <c r="R1230" s="107"/>
      <c r="S1230" s="107"/>
      <c r="T1230" s="107"/>
    </row>
    <row r="1231" spans="2:20" x14ac:dyDescent="0.25">
      <c r="B1231" s="68"/>
      <c r="C1231" s="68"/>
      <c r="D1231" s="68"/>
      <c r="E1231" s="68"/>
      <c r="F1231" s="68"/>
      <c r="G1231" s="100"/>
      <c r="H1231" s="91"/>
      <c r="I1231" s="91"/>
      <c r="J1231" s="68"/>
      <c r="K1231" s="69"/>
      <c r="L1231" s="102"/>
      <c r="M1231" s="102"/>
      <c r="N1231" s="68"/>
      <c r="O1231" s="68"/>
      <c r="P1231" s="106"/>
      <c r="Q1231" s="107"/>
      <c r="R1231" s="107"/>
      <c r="S1231" s="107"/>
      <c r="T1231" s="107"/>
    </row>
    <row r="1232" spans="2:20" x14ac:dyDescent="0.25">
      <c r="B1232" s="68"/>
      <c r="C1232" s="68"/>
      <c r="D1232" s="68"/>
      <c r="E1232" s="68"/>
      <c r="F1232" s="68"/>
      <c r="G1232" s="100"/>
      <c r="H1232" s="91"/>
      <c r="I1232" s="91"/>
      <c r="J1232" s="68"/>
      <c r="K1232" s="69"/>
      <c r="L1232" s="102"/>
      <c r="M1232" s="102"/>
      <c r="N1232" s="68"/>
      <c r="O1232" s="68"/>
      <c r="P1232" s="106"/>
      <c r="Q1232" s="107"/>
      <c r="R1232" s="107"/>
      <c r="S1232" s="107"/>
      <c r="T1232" s="107"/>
    </row>
    <row r="1233" spans="2:20" x14ac:dyDescent="0.25">
      <c r="B1233" s="68"/>
      <c r="C1233" s="68"/>
      <c r="D1233" s="68"/>
      <c r="E1233" s="68"/>
      <c r="F1233" s="68"/>
      <c r="G1233" s="100"/>
      <c r="H1233" s="91"/>
      <c r="I1233" s="91"/>
      <c r="J1233" s="68"/>
      <c r="K1233" s="69"/>
      <c r="L1233" s="102"/>
      <c r="M1233" s="102"/>
      <c r="N1233" s="68"/>
      <c r="O1233" s="68"/>
      <c r="P1233" s="106"/>
      <c r="Q1233" s="107"/>
      <c r="R1233" s="107"/>
      <c r="S1233" s="107"/>
      <c r="T1233" s="107"/>
    </row>
    <row r="1234" spans="2:20" x14ac:dyDescent="0.25">
      <c r="B1234" s="68"/>
      <c r="C1234" s="68"/>
      <c r="D1234" s="68"/>
      <c r="E1234" s="68"/>
      <c r="F1234" s="68"/>
      <c r="G1234" s="100"/>
      <c r="H1234" s="91"/>
      <c r="I1234" s="91"/>
      <c r="J1234" s="68"/>
      <c r="K1234" s="69"/>
      <c r="L1234" s="102"/>
      <c r="M1234" s="102"/>
      <c r="N1234" s="68"/>
      <c r="O1234" s="68"/>
      <c r="P1234" s="106"/>
      <c r="Q1234" s="107"/>
      <c r="R1234" s="107"/>
      <c r="S1234" s="107"/>
      <c r="T1234" s="107"/>
    </row>
    <row r="1235" spans="2:20" x14ac:dyDescent="0.25">
      <c r="B1235" s="68"/>
      <c r="C1235" s="68"/>
      <c r="D1235" s="68"/>
      <c r="E1235" s="68"/>
      <c r="F1235" s="68"/>
      <c r="G1235" s="100"/>
      <c r="H1235" s="91"/>
      <c r="I1235" s="91"/>
      <c r="J1235" s="68"/>
      <c r="K1235" s="69"/>
      <c r="L1235" s="102"/>
      <c r="M1235" s="102"/>
      <c r="N1235" s="68"/>
      <c r="O1235" s="68"/>
      <c r="P1235" s="106"/>
      <c r="Q1235" s="107"/>
      <c r="R1235" s="107"/>
      <c r="S1235" s="107"/>
      <c r="T1235" s="107"/>
    </row>
    <row r="1236" spans="2:20" x14ac:dyDescent="0.25">
      <c r="B1236" s="68"/>
      <c r="C1236" s="68"/>
      <c r="D1236" s="68"/>
      <c r="E1236" s="68"/>
      <c r="F1236" s="68"/>
      <c r="G1236" s="100"/>
      <c r="H1236" s="91"/>
      <c r="I1236" s="91"/>
      <c r="J1236" s="68"/>
      <c r="K1236" s="69"/>
      <c r="L1236" s="102"/>
      <c r="M1236" s="102"/>
      <c r="N1236" s="68"/>
      <c r="O1236" s="68"/>
      <c r="P1236" s="106"/>
      <c r="Q1236" s="107"/>
      <c r="R1236" s="107"/>
      <c r="S1236" s="107"/>
      <c r="T1236" s="107"/>
    </row>
    <row r="1237" spans="2:20" x14ac:dyDescent="0.25">
      <c r="B1237" s="68"/>
      <c r="C1237" s="68"/>
      <c r="D1237" s="68"/>
      <c r="E1237" s="68"/>
      <c r="F1237" s="68"/>
      <c r="G1237" s="100"/>
      <c r="H1237" s="91"/>
      <c r="I1237" s="91"/>
      <c r="J1237" s="68"/>
      <c r="K1237" s="69"/>
      <c r="L1237" s="102"/>
      <c r="M1237" s="102"/>
      <c r="N1237" s="68"/>
      <c r="O1237" s="68"/>
      <c r="P1237" s="106"/>
      <c r="Q1237" s="107"/>
      <c r="R1237" s="107"/>
      <c r="S1237" s="107"/>
      <c r="T1237" s="107"/>
    </row>
    <row r="1238" spans="2:20" x14ac:dyDescent="0.25">
      <c r="B1238" s="68"/>
      <c r="C1238" s="68"/>
      <c r="D1238" s="68"/>
      <c r="E1238" s="68"/>
      <c r="F1238" s="68"/>
      <c r="G1238" s="100"/>
      <c r="H1238" s="91"/>
      <c r="I1238" s="91"/>
      <c r="J1238" s="68"/>
      <c r="K1238" s="69"/>
      <c r="L1238" s="102"/>
      <c r="M1238" s="102"/>
      <c r="N1238" s="68"/>
      <c r="O1238" s="68"/>
      <c r="P1238" s="106"/>
      <c r="Q1238" s="107"/>
      <c r="R1238" s="107"/>
      <c r="S1238" s="107"/>
      <c r="T1238" s="107"/>
    </row>
    <row r="1239" spans="2:20" x14ac:dyDescent="0.25">
      <c r="B1239" s="68"/>
      <c r="C1239" s="68"/>
      <c r="D1239" s="68"/>
      <c r="E1239" s="68"/>
      <c r="F1239" s="68"/>
      <c r="G1239" s="100"/>
      <c r="H1239" s="91"/>
      <c r="I1239" s="91"/>
      <c r="J1239" s="68"/>
      <c r="K1239" s="69"/>
      <c r="L1239" s="102"/>
      <c r="M1239" s="102"/>
      <c r="N1239" s="68"/>
      <c r="O1239" s="68"/>
      <c r="P1239" s="106"/>
      <c r="Q1239" s="107"/>
      <c r="R1239" s="107"/>
      <c r="S1239" s="107"/>
      <c r="T1239" s="107"/>
    </row>
    <row r="1240" spans="2:20" x14ac:dyDescent="0.25">
      <c r="B1240" s="68"/>
      <c r="C1240" s="68"/>
      <c r="D1240" s="68"/>
      <c r="E1240" s="68"/>
      <c r="F1240" s="68"/>
      <c r="G1240" s="100"/>
      <c r="H1240" s="91"/>
      <c r="I1240" s="91"/>
      <c r="J1240" s="68"/>
      <c r="K1240" s="69"/>
      <c r="L1240" s="102"/>
      <c r="M1240" s="102"/>
      <c r="N1240" s="68"/>
      <c r="O1240" s="68"/>
      <c r="P1240" s="106"/>
      <c r="Q1240" s="107"/>
      <c r="R1240" s="107"/>
      <c r="S1240" s="107"/>
      <c r="T1240" s="107"/>
    </row>
    <row r="1241" spans="2:20" x14ac:dyDescent="0.25">
      <c r="B1241" s="68"/>
      <c r="C1241" s="68"/>
      <c r="D1241" s="68"/>
      <c r="E1241" s="68"/>
      <c r="F1241" s="68"/>
      <c r="G1241" s="100"/>
      <c r="H1241" s="91"/>
      <c r="I1241" s="91"/>
      <c r="J1241" s="68"/>
      <c r="K1241" s="69"/>
      <c r="L1241" s="102"/>
      <c r="M1241" s="102"/>
      <c r="N1241" s="68"/>
      <c r="O1241" s="68"/>
      <c r="P1241" s="106"/>
      <c r="Q1241" s="107"/>
      <c r="R1241" s="107"/>
      <c r="S1241" s="107"/>
      <c r="T1241" s="107"/>
    </row>
    <row r="1242" spans="2:20" x14ac:dyDescent="0.25">
      <c r="B1242" s="68"/>
      <c r="C1242" s="68"/>
      <c r="D1242" s="68"/>
      <c r="E1242" s="68"/>
      <c r="F1242" s="68"/>
      <c r="G1242" s="100"/>
      <c r="H1242" s="91"/>
      <c r="I1242" s="91"/>
      <c r="J1242" s="68"/>
      <c r="K1242" s="69"/>
      <c r="L1242" s="102"/>
      <c r="M1242" s="102"/>
      <c r="N1242" s="68"/>
      <c r="O1242" s="68"/>
      <c r="P1242" s="106"/>
      <c r="Q1242" s="107"/>
      <c r="R1242" s="107"/>
      <c r="S1242" s="107"/>
      <c r="T1242" s="107"/>
    </row>
    <row r="1243" spans="2:20" x14ac:dyDescent="0.25">
      <c r="B1243" s="68"/>
      <c r="C1243" s="68"/>
      <c r="D1243" s="68"/>
      <c r="E1243" s="68"/>
      <c r="F1243" s="68"/>
      <c r="G1243" s="100"/>
      <c r="H1243" s="91"/>
      <c r="I1243" s="91"/>
      <c r="J1243" s="68"/>
      <c r="K1243" s="69"/>
      <c r="L1243" s="102"/>
      <c r="M1243" s="102"/>
      <c r="N1243" s="68"/>
      <c r="O1243" s="68"/>
      <c r="P1243" s="106"/>
      <c r="Q1243" s="107"/>
      <c r="R1243" s="107"/>
      <c r="S1243" s="107"/>
      <c r="T1243" s="107"/>
    </row>
    <row r="1244" spans="2:20" x14ac:dyDescent="0.25">
      <c r="B1244" s="68"/>
      <c r="C1244" s="68"/>
      <c r="D1244" s="68"/>
      <c r="E1244" s="68"/>
      <c r="F1244" s="68"/>
      <c r="G1244" s="100"/>
      <c r="H1244" s="91"/>
      <c r="I1244" s="91"/>
      <c r="J1244" s="68"/>
      <c r="K1244" s="69"/>
      <c r="L1244" s="102"/>
      <c r="M1244" s="102"/>
      <c r="N1244" s="68"/>
      <c r="O1244" s="68"/>
      <c r="P1244" s="106"/>
      <c r="Q1244" s="107"/>
      <c r="R1244" s="107"/>
      <c r="S1244" s="107"/>
      <c r="T1244" s="107"/>
    </row>
    <row r="1245" spans="2:20" x14ac:dyDescent="0.25">
      <c r="B1245" s="68"/>
      <c r="C1245" s="68"/>
      <c r="D1245" s="68"/>
      <c r="E1245" s="68"/>
      <c r="F1245" s="68"/>
      <c r="G1245" s="100"/>
      <c r="H1245" s="91"/>
      <c r="I1245" s="91"/>
      <c r="J1245" s="68"/>
      <c r="K1245" s="69"/>
      <c r="L1245" s="102"/>
      <c r="M1245" s="102"/>
      <c r="N1245" s="68"/>
      <c r="O1245" s="68"/>
      <c r="P1245" s="106"/>
      <c r="Q1245" s="107"/>
      <c r="R1245" s="107"/>
      <c r="S1245" s="107"/>
      <c r="T1245" s="107"/>
    </row>
    <row r="1246" spans="2:20" x14ac:dyDescent="0.25">
      <c r="B1246" s="68"/>
      <c r="C1246" s="68"/>
      <c r="D1246" s="68"/>
      <c r="E1246" s="68"/>
      <c r="F1246" s="68"/>
      <c r="G1246" s="100"/>
      <c r="H1246" s="91"/>
      <c r="I1246" s="91"/>
      <c r="J1246" s="68"/>
      <c r="K1246" s="69"/>
      <c r="L1246" s="102"/>
      <c r="M1246" s="102"/>
      <c r="N1246" s="68"/>
      <c r="O1246" s="68"/>
      <c r="P1246" s="106"/>
      <c r="Q1246" s="107"/>
      <c r="R1246" s="107"/>
      <c r="S1246" s="107"/>
      <c r="T1246" s="107"/>
    </row>
    <row r="1247" spans="2:20" x14ac:dyDescent="0.25">
      <c r="B1247" s="68"/>
      <c r="C1247" s="68"/>
      <c r="D1247" s="68"/>
      <c r="E1247" s="68"/>
      <c r="F1247" s="68"/>
      <c r="G1247" s="100"/>
      <c r="H1247" s="91"/>
      <c r="I1247" s="91"/>
      <c r="J1247" s="68"/>
      <c r="K1247" s="69"/>
      <c r="L1247" s="102"/>
      <c r="M1247" s="102"/>
      <c r="N1247" s="68"/>
      <c r="O1247" s="68"/>
      <c r="P1247" s="106"/>
      <c r="Q1247" s="107"/>
      <c r="R1247" s="107"/>
      <c r="S1247" s="107"/>
      <c r="T1247" s="107"/>
    </row>
    <row r="1248" spans="2:20" x14ac:dyDescent="0.25">
      <c r="B1248" s="68"/>
      <c r="C1248" s="68"/>
      <c r="D1248" s="68"/>
      <c r="E1248" s="68"/>
      <c r="F1248" s="68"/>
      <c r="G1248" s="100"/>
      <c r="H1248" s="91"/>
      <c r="I1248" s="91"/>
      <c r="J1248" s="68"/>
      <c r="K1248" s="69"/>
      <c r="L1248" s="102"/>
      <c r="M1248" s="102"/>
      <c r="N1248" s="68"/>
      <c r="O1248" s="68"/>
      <c r="P1248" s="106"/>
      <c r="Q1248" s="107"/>
      <c r="R1248" s="107"/>
      <c r="S1248" s="107"/>
      <c r="T1248" s="107"/>
    </row>
    <row r="1249" spans="2:20" x14ac:dyDescent="0.25">
      <c r="B1249" s="68"/>
      <c r="C1249" s="68"/>
      <c r="D1249" s="68"/>
      <c r="E1249" s="68"/>
      <c r="F1249" s="68"/>
      <c r="G1249" s="100"/>
      <c r="H1249" s="91"/>
      <c r="I1249" s="91"/>
      <c r="J1249" s="68"/>
      <c r="K1249" s="69"/>
      <c r="L1249" s="102"/>
      <c r="M1249" s="102"/>
      <c r="N1249" s="68"/>
      <c r="O1249" s="68"/>
      <c r="P1249" s="106"/>
      <c r="Q1249" s="107"/>
      <c r="R1249" s="107"/>
      <c r="S1249" s="107"/>
      <c r="T1249" s="107"/>
    </row>
    <row r="1250" spans="2:20" x14ac:dyDescent="0.25">
      <c r="B1250" s="68"/>
      <c r="C1250" s="68"/>
      <c r="D1250" s="68"/>
      <c r="E1250" s="68"/>
      <c r="F1250" s="68"/>
      <c r="G1250" s="100"/>
      <c r="H1250" s="91"/>
      <c r="I1250" s="91"/>
      <c r="J1250" s="68"/>
      <c r="K1250" s="69"/>
      <c r="L1250" s="102"/>
      <c r="M1250" s="102"/>
      <c r="N1250" s="68"/>
      <c r="O1250" s="68"/>
      <c r="P1250" s="106"/>
      <c r="Q1250" s="107"/>
      <c r="R1250" s="107"/>
      <c r="S1250" s="107"/>
      <c r="T1250" s="107"/>
    </row>
    <row r="1251" spans="2:20" x14ac:dyDescent="0.25">
      <c r="B1251" s="68"/>
      <c r="C1251" s="68"/>
      <c r="D1251" s="68"/>
      <c r="E1251" s="68"/>
      <c r="F1251" s="68"/>
      <c r="G1251" s="100"/>
      <c r="H1251" s="91"/>
      <c r="I1251" s="91"/>
      <c r="J1251" s="68"/>
      <c r="K1251" s="69"/>
      <c r="L1251" s="102"/>
      <c r="M1251" s="102"/>
      <c r="N1251" s="68"/>
      <c r="O1251" s="68"/>
      <c r="P1251" s="106"/>
      <c r="Q1251" s="107"/>
      <c r="R1251" s="107"/>
      <c r="S1251" s="107"/>
      <c r="T1251" s="107"/>
    </row>
    <row r="1252" spans="2:20" x14ac:dyDescent="0.25">
      <c r="B1252" s="68"/>
      <c r="C1252" s="68"/>
      <c r="D1252" s="68"/>
      <c r="E1252" s="68"/>
      <c r="F1252" s="68"/>
      <c r="G1252" s="100"/>
      <c r="H1252" s="91"/>
      <c r="I1252" s="91"/>
      <c r="J1252" s="68"/>
      <c r="K1252" s="69"/>
      <c r="L1252" s="102"/>
      <c r="M1252" s="102"/>
      <c r="N1252" s="68"/>
      <c r="O1252" s="68"/>
      <c r="P1252" s="106"/>
      <c r="Q1252" s="107"/>
      <c r="R1252" s="107"/>
      <c r="S1252" s="107"/>
      <c r="T1252" s="107"/>
    </row>
    <row r="1253" spans="2:20" x14ac:dyDescent="0.25">
      <c r="B1253" s="68"/>
      <c r="C1253" s="68"/>
      <c r="D1253" s="68"/>
      <c r="E1253" s="68"/>
      <c r="F1253" s="68"/>
      <c r="G1253" s="100"/>
      <c r="H1253" s="91"/>
      <c r="I1253" s="91"/>
      <c r="J1253" s="68"/>
      <c r="K1253" s="69"/>
      <c r="L1253" s="102"/>
      <c r="M1253" s="102"/>
      <c r="N1253" s="68"/>
      <c r="O1253" s="68"/>
      <c r="P1253" s="106"/>
      <c r="Q1253" s="107"/>
      <c r="R1253" s="107"/>
      <c r="S1253" s="107"/>
      <c r="T1253" s="107"/>
    </row>
    <row r="1254" spans="2:20" x14ac:dyDescent="0.25">
      <c r="B1254" s="68"/>
      <c r="C1254" s="68"/>
      <c r="D1254" s="68"/>
      <c r="E1254" s="68"/>
      <c r="F1254" s="68"/>
      <c r="G1254" s="100"/>
      <c r="H1254" s="91"/>
      <c r="I1254" s="91"/>
      <c r="J1254" s="68"/>
      <c r="K1254" s="69"/>
      <c r="L1254" s="102"/>
      <c r="M1254" s="102"/>
      <c r="N1254" s="68"/>
      <c r="O1254" s="68"/>
      <c r="P1254" s="106"/>
      <c r="Q1254" s="107"/>
      <c r="R1254" s="107"/>
      <c r="S1254" s="107"/>
      <c r="T1254" s="107"/>
    </row>
    <row r="1255" spans="2:20" x14ac:dyDescent="0.25">
      <c r="B1255" s="68"/>
      <c r="C1255" s="68"/>
      <c r="D1255" s="68"/>
      <c r="E1255" s="68"/>
      <c r="F1255" s="68"/>
      <c r="G1255" s="100"/>
      <c r="H1255" s="91"/>
      <c r="I1255" s="91"/>
      <c r="J1255" s="68"/>
      <c r="K1255" s="69"/>
      <c r="L1255" s="102"/>
      <c r="M1255" s="102"/>
      <c r="N1255" s="68"/>
      <c r="O1255" s="68"/>
      <c r="P1255" s="106"/>
      <c r="Q1255" s="107"/>
      <c r="R1255" s="107"/>
      <c r="S1255" s="107"/>
      <c r="T1255" s="107"/>
    </row>
    <row r="1256" spans="2:20" x14ac:dyDescent="0.25">
      <c r="B1256" s="68"/>
      <c r="C1256" s="68"/>
      <c r="D1256" s="68"/>
      <c r="E1256" s="68"/>
      <c r="F1256" s="68"/>
      <c r="G1256" s="100"/>
      <c r="H1256" s="91"/>
      <c r="I1256" s="91"/>
      <c r="J1256" s="68"/>
      <c r="K1256" s="69"/>
      <c r="L1256" s="102"/>
      <c r="M1256" s="102"/>
      <c r="N1256" s="68"/>
      <c r="O1256" s="68"/>
      <c r="P1256" s="106"/>
      <c r="Q1256" s="107"/>
      <c r="R1256" s="107"/>
      <c r="S1256" s="107"/>
      <c r="T1256" s="107"/>
    </row>
    <row r="1257" spans="2:20" x14ac:dyDescent="0.25">
      <c r="B1257" s="68"/>
      <c r="C1257" s="68"/>
      <c r="D1257" s="68"/>
      <c r="E1257" s="68"/>
      <c r="F1257" s="68"/>
      <c r="G1257" s="100"/>
      <c r="H1257" s="91"/>
      <c r="I1257" s="91"/>
      <c r="J1257" s="68"/>
      <c r="K1257" s="69"/>
      <c r="L1257" s="102"/>
      <c r="M1257" s="102"/>
      <c r="N1257" s="68"/>
      <c r="O1257" s="68"/>
      <c r="P1257" s="106"/>
      <c r="Q1257" s="107"/>
      <c r="R1257" s="107"/>
      <c r="S1257" s="107"/>
      <c r="T1257" s="107"/>
    </row>
    <row r="1258" spans="2:20" x14ac:dyDescent="0.25">
      <c r="B1258" s="68"/>
      <c r="C1258" s="68"/>
      <c r="D1258" s="68"/>
      <c r="E1258" s="68"/>
      <c r="F1258" s="68"/>
      <c r="G1258" s="100"/>
      <c r="H1258" s="91"/>
      <c r="I1258" s="91"/>
      <c r="J1258" s="68"/>
      <c r="K1258" s="69"/>
      <c r="L1258" s="102"/>
      <c r="M1258" s="102"/>
      <c r="N1258" s="68"/>
      <c r="O1258" s="68"/>
      <c r="P1258" s="106"/>
      <c r="Q1258" s="107"/>
      <c r="R1258" s="107"/>
      <c r="S1258" s="107"/>
      <c r="T1258" s="107"/>
    </row>
    <row r="1259" spans="2:20" x14ac:dyDescent="0.25">
      <c r="B1259" s="68"/>
      <c r="C1259" s="68"/>
      <c r="D1259" s="68"/>
      <c r="E1259" s="68"/>
      <c r="F1259" s="68"/>
      <c r="G1259" s="100"/>
      <c r="H1259" s="91"/>
      <c r="I1259" s="91"/>
      <c r="J1259" s="68"/>
      <c r="K1259" s="69"/>
      <c r="L1259" s="102"/>
      <c r="M1259" s="102"/>
      <c r="N1259" s="68"/>
      <c r="O1259" s="68"/>
      <c r="P1259" s="106"/>
      <c r="Q1259" s="107"/>
      <c r="R1259" s="107"/>
      <c r="S1259" s="107"/>
      <c r="T1259" s="107"/>
    </row>
    <row r="1260" spans="2:20" x14ac:dyDescent="0.25">
      <c r="B1260" s="68"/>
      <c r="C1260" s="68"/>
      <c r="D1260" s="68"/>
      <c r="E1260" s="68"/>
      <c r="F1260" s="68"/>
      <c r="G1260" s="100"/>
      <c r="H1260" s="91"/>
      <c r="I1260" s="91"/>
      <c r="J1260" s="68"/>
      <c r="K1260" s="69"/>
      <c r="L1260" s="102"/>
      <c r="M1260" s="102"/>
      <c r="N1260" s="68"/>
      <c r="O1260" s="68"/>
      <c r="P1260" s="106"/>
      <c r="Q1260" s="107"/>
      <c r="R1260" s="107"/>
      <c r="S1260" s="107"/>
      <c r="T1260" s="107"/>
    </row>
    <row r="1261" spans="2:20" x14ac:dyDescent="0.25">
      <c r="B1261" s="68"/>
      <c r="C1261" s="68"/>
      <c r="D1261" s="68"/>
      <c r="E1261" s="68"/>
      <c r="F1261" s="68"/>
      <c r="G1261" s="100"/>
      <c r="H1261" s="91"/>
      <c r="I1261" s="91"/>
      <c r="J1261" s="68"/>
      <c r="K1261" s="69"/>
      <c r="L1261" s="102"/>
      <c r="M1261" s="102"/>
      <c r="N1261" s="68"/>
      <c r="O1261" s="68"/>
      <c r="P1261" s="106"/>
      <c r="Q1261" s="107"/>
      <c r="R1261" s="107"/>
      <c r="S1261" s="107"/>
      <c r="T1261" s="107"/>
    </row>
    <row r="1262" spans="2:20" x14ac:dyDescent="0.25">
      <c r="B1262" s="68"/>
      <c r="C1262" s="68"/>
      <c r="D1262" s="68"/>
      <c r="E1262" s="68"/>
      <c r="F1262" s="68"/>
      <c r="G1262" s="100"/>
      <c r="H1262" s="91"/>
      <c r="I1262" s="91"/>
      <c r="J1262" s="68"/>
      <c r="K1262" s="69"/>
      <c r="L1262" s="102"/>
      <c r="M1262" s="102"/>
      <c r="N1262" s="68"/>
      <c r="O1262" s="68"/>
      <c r="P1262" s="106"/>
      <c r="Q1262" s="107"/>
      <c r="R1262" s="107"/>
      <c r="S1262" s="107"/>
      <c r="T1262" s="107"/>
    </row>
    <row r="1263" spans="2:20" x14ac:dyDescent="0.25">
      <c r="B1263" s="68"/>
      <c r="C1263" s="68"/>
      <c r="D1263" s="68"/>
      <c r="E1263" s="68"/>
      <c r="F1263" s="68"/>
      <c r="G1263" s="100"/>
      <c r="H1263" s="91"/>
      <c r="I1263" s="91"/>
      <c r="J1263" s="68"/>
      <c r="K1263" s="69"/>
      <c r="L1263" s="102"/>
      <c r="M1263" s="102"/>
      <c r="N1263" s="68"/>
      <c r="O1263" s="68"/>
      <c r="P1263" s="106"/>
      <c r="Q1263" s="107"/>
      <c r="R1263" s="107"/>
      <c r="S1263" s="107"/>
      <c r="T1263" s="107"/>
    </row>
    <row r="1264" spans="2:20" x14ac:dyDescent="0.25">
      <c r="B1264" s="68"/>
      <c r="C1264" s="68"/>
      <c r="D1264" s="68"/>
      <c r="E1264" s="68"/>
      <c r="F1264" s="68"/>
      <c r="G1264" s="100"/>
      <c r="H1264" s="91"/>
      <c r="I1264" s="91"/>
      <c r="J1264" s="68"/>
      <c r="K1264" s="69"/>
      <c r="L1264" s="102"/>
      <c r="M1264" s="102"/>
      <c r="N1264" s="68"/>
      <c r="O1264" s="68"/>
      <c r="P1264" s="106"/>
      <c r="Q1264" s="107"/>
      <c r="R1264" s="107"/>
      <c r="S1264" s="107"/>
      <c r="T1264" s="107"/>
    </row>
    <row r="1265" spans="2:20" x14ac:dyDescent="0.25">
      <c r="B1265" s="68"/>
      <c r="C1265" s="68"/>
      <c r="D1265" s="68"/>
      <c r="E1265" s="68"/>
      <c r="F1265" s="68"/>
      <c r="G1265" s="100"/>
      <c r="H1265" s="91"/>
      <c r="I1265" s="91"/>
      <c r="J1265" s="68"/>
      <c r="K1265" s="69"/>
      <c r="L1265" s="102"/>
      <c r="M1265" s="102"/>
      <c r="N1265" s="68"/>
      <c r="O1265" s="68"/>
      <c r="P1265" s="106"/>
      <c r="Q1265" s="107"/>
      <c r="R1265" s="107"/>
      <c r="S1265" s="107"/>
      <c r="T1265" s="107"/>
    </row>
    <row r="1266" spans="2:20" x14ac:dyDescent="0.25">
      <c r="B1266" s="68"/>
      <c r="C1266" s="68"/>
      <c r="D1266" s="68"/>
      <c r="E1266" s="68"/>
      <c r="F1266" s="68"/>
      <c r="G1266" s="100"/>
      <c r="H1266" s="91"/>
      <c r="I1266" s="91"/>
      <c r="J1266" s="68"/>
      <c r="K1266" s="69"/>
      <c r="L1266" s="102"/>
      <c r="M1266" s="102"/>
      <c r="N1266" s="68"/>
      <c r="O1266" s="68"/>
      <c r="P1266" s="106"/>
      <c r="Q1266" s="107"/>
      <c r="R1266" s="107"/>
      <c r="S1266" s="107"/>
      <c r="T1266" s="107"/>
    </row>
    <row r="1267" spans="2:20" x14ac:dyDescent="0.25">
      <c r="B1267" s="68"/>
      <c r="C1267" s="68"/>
      <c r="D1267" s="68"/>
      <c r="E1267" s="68"/>
      <c r="F1267" s="68"/>
      <c r="G1267" s="100"/>
      <c r="H1267" s="91"/>
      <c r="I1267" s="91"/>
      <c r="J1267" s="68"/>
      <c r="K1267" s="69"/>
      <c r="L1267" s="102"/>
      <c r="M1267" s="102"/>
      <c r="N1267" s="68"/>
      <c r="O1267" s="68"/>
      <c r="P1267" s="106"/>
      <c r="Q1267" s="107"/>
      <c r="R1267" s="107"/>
      <c r="S1267" s="107"/>
      <c r="T1267" s="107"/>
    </row>
    <row r="1268" spans="2:20" x14ac:dyDescent="0.25">
      <c r="B1268" s="68"/>
      <c r="C1268" s="68"/>
      <c r="D1268" s="68"/>
      <c r="E1268" s="68"/>
      <c r="F1268" s="68"/>
      <c r="G1268" s="100"/>
      <c r="H1268" s="91"/>
      <c r="I1268" s="91"/>
      <c r="J1268" s="68"/>
      <c r="K1268" s="69"/>
      <c r="L1268" s="102"/>
      <c r="M1268" s="102"/>
      <c r="N1268" s="68"/>
      <c r="O1268" s="68"/>
      <c r="P1268" s="106"/>
      <c r="Q1268" s="107"/>
      <c r="R1268" s="107"/>
      <c r="S1268" s="107"/>
      <c r="T1268" s="107"/>
    </row>
    <row r="1269" spans="2:20" x14ac:dyDescent="0.25">
      <c r="B1269" s="68"/>
      <c r="C1269" s="68"/>
      <c r="D1269" s="68"/>
      <c r="E1269" s="68"/>
      <c r="F1269" s="68"/>
      <c r="G1269" s="100"/>
      <c r="H1269" s="91"/>
      <c r="I1269" s="91"/>
      <c r="J1269" s="68"/>
      <c r="K1269" s="69"/>
      <c r="L1269" s="102"/>
      <c r="M1269" s="102"/>
      <c r="N1269" s="68"/>
      <c r="O1269" s="68"/>
      <c r="P1269" s="106"/>
      <c r="Q1269" s="107"/>
      <c r="R1269" s="107"/>
      <c r="S1269" s="107"/>
      <c r="T1269" s="107"/>
    </row>
    <row r="1270" spans="2:20" x14ac:dyDescent="0.25">
      <c r="B1270" s="68"/>
      <c r="C1270" s="68"/>
      <c r="D1270" s="68"/>
      <c r="E1270" s="68"/>
      <c r="F1270" s="68"/>
      <c r="G1270" s="100"/>
      <c r="H1270" s="91"/>
      <c r="I1270" s="91"/>
      <c r="J1270" s="68"/>
      <c r="K1270" s="69"/>
      <c r="L1270" s="102"/>
      <c r="M1270" s="102"/>
      <c r="N1270" s="68"/>
      <c r="O1270" s="68"/>
      <c r="P1270" s="106"/>
      <c r="Q1270" s="107"/>
      <c r="R1270" s="107"/>
      <c r="S1270" s="107"/>
      <c r="T1270" s="107"/>
    </row>
    <row r="1271" spans="2:20" x14ac:dyDescent="0.25">
      <c r="B1271" s="68"/>
      <c r="C1271" s="68"/>
      <c r="D1271" s="68"/>
      <c r="E1271" s="68"/>
      <c r="F1271" s="68"/>
      <c r="G1271" s="100"/>
      <c r="H1271" s="91"/>
      <c r="I1271" s="91"/>
      <c r="J1271" s="68"/>
      <c r="K1271" s="69"/>
      <c r="L1271" s="102"/>
      <c r="M1271" s="102"/>
      <c r="N1271" s="68"/>
      <c r="O1271" s="68"/>
      <c r="P1271" s="106"/>
      <c r="Q1271" s="107"/>
      <c r="R1271" s="107"/>
      <c r="S1271" s="107"/>
      <c r="T1271" s="107"/>
    </row>
    <row r="1272" spans="2:20" x14ac:dyDescent="0.25">
      <c r="B1272" s="68"/>
      <c r="C1272" s="68"/>
      <c r="D1272" s="68"/>
      <c r="E1272" s="68"/>
      <c r="F1272" s="68"/>
      <c r="G1272" s="100"/>
      <c r="H1272" s="91"/>
      <c r="I1272" s="91"/>
      <c r="J1272" s="68"/>
      <c r="K1272" s="69"/>
      <c r="L1272" s="102"/>
      <c r="M1272" s="102"/>
      <c r="N1272" s="68"/>
      <c r="O1272" s="68"/>
      <c r="P1272" s="106"/>
      <c r="Q1272" s="107"/>
      <c r="R1272" s="107"/>
      <c r="S1272" s="107"/>
      <c r="T1272" s="107"/>
    </row>
    <row r="1273" spans="2:20" x14ac:dyDescent="0.25">
      <c r="B1273" s="68"/>
      <c r="C1273" s="68"/>
      <c r="D1273" s="68"/>
      <c r="E1273" s="68"/>
      <c r="F1273" s="68"/>
      <c r="G1273" s="100"/>
      <c r="H1273" s="91"/>
      <c r="I1273" s="91"/>
      <c r="J1273" s="68"/>
      <c r="K1273" s="69"/>
      <c r="L1273" s="102"/>
      <c r="M1273" s="102"/>
      <c r="N1273" s="68"/>
      <c r="O1273" s="68"/>
      <c r="P1273" s="106"/>
      <c r="Q1273" s="107"/>
      <c r="R1273" s="107"/>
      <c r="S1273" s="107"/>
      <c r="T1273" s="107"/>
    </row>
    <row r="1274" spans="2:20" x14ac:dyDescent="0.25">
      <c r="B1274" s="68"/>
      <c r="C1274" s="68"/>
      <c r="D1274" s="68"/>
      <c r="E1274" s="68"/>
      <c r="F1274" s="68"/>
      <c r="G1274" s="100"/>
      <c r="H1274" s="91"/>
      <c r="I1274" s="91"/>
      <c r="J1274" s="68"/>
      <c r="K1274" s="69"/>
      <c r="L1274" s="102"/>
      <c r="M1274" s="102"/>
      <c r="N1274" s="68"/>
      <c r="O1274" s="68"/>
      <c r="P1274" s="106"/>
      <c r="Q1274" s="107"/>
      <c r="R1274" s="107"/>
      <c r="S1274" s="107"/>
      <c r="T1274" s="107"/>
    </row>
    <row r="1275" spans="2:20" x14ac:dyDescent="0.25">
      <c r="B1275" s="68"/>
      <c r="C1275" s="68"/>
      <c r="D1275" s="68"/>
      <c r="E1275" s="68"/>
      <c r="F1275" s="68"/>
      <c r="G1275" s="100"/>
      <c r="H1275" s="91"/>
      <c r="I1275" s="91"/>
      <c r="J1275" s="68"/>
      <c r="K1275" s="69"/>
      <c r="L1275" s="102"/>
      <c r="M1275" s="102"/>
      <c r="N1275" s="68"/>
      <c r="O1275" s="68"/>
      <c r="P1275" s="106"/>
      <c r="Q1275" s="107"/>
      <c r="R1275" s="107"/>
      <c r="S1275" s="107"/>
      <c r="T1275" s="107"/>
    </row>
    <row r="1276" spans="2:20" x14ac:dyDescent="0.25">
      <c r="B1276" s="68"/>
      <c r="C1276" s="68"/>
      <c r="D1276" s="68"/>
      <c r="E1276" s="68"/>
      <c r="F1276" s="68"/>
      <c r="G1276" s="100"/>
      <c r="H1276" s="91"/>
      <c r="I1276" s="91"/>
      <c r="J1276" s="68"/>
      <c r="K1276" s="69"/>
      <c r="L1276" s="102"/>
      <c r="M1276" s="102"/>
      <c r="N1276" s="68"/>
      <c r="O1276" s="68"/>
      <c r="P1276" s="106"/>
      <c r="Q1276" s="107"/>
      <c r="R1276" s="107"/>
      <c r="S1276" s="107"/>
      <c r="T1276" s="107"/>
    </row>
    <row r="1277" spans="2:20" x14ac:dyDescent="0.25">
      <c r="B1277" s="68"/>
      <c r="C1277" s="68"/>
      <c r="D1277" s="68"/>
      <c r="E1277" s="68"/>
      <c r="F1277" s="68"/>
      <c r="G1277" s="100"/>
      <c r="H1277" s="91"/>
      <c r="I1277" s="91"/>
      <c r="J1277" s="68"/>
      <c r="K1277" s="69"/>
      <c r="L1277" s="102"/>
      <c r="M1277" s="102"/>
      <c r="N1277" s="68"/>
      <c r="O1277" s="68"/>
      <c r="P1277" s="106"/>
      <c r="Q1277" s="107"/>
      <c r="R1277" s="107"/>
      <c r="S1277" s="107"/>
      <c r="T1277" s="107"/>
    </row>
    <row r="1278" spans="2:20" x14ac:dyDescent="0.25">
      <c r="B1278" s="68"/>
      <c r="C1278" s="68"/>
      <c r="D1278" s="68"/>
      <c r="E1278" s="68"/>
      <c r="F1278" s="68"/>
      <c r="G1278" s="100"/>
      <c r="H1278" s="91"/>
      <c r="I1278" s="91"/>
      <c r="J1278" s="68"/>
      <c r="K1278" s="69"/>
      <c r="L1278" s="102"/>
      <c r="M1278" s="102"/>
      <c r="N1278" s="68"/>
      <c r="O1278" s="68"/>
      <c r="P1278" s="106"/>
      <c r="Q1278" s="107"/>
      <c r="R1278" s="107"/>
      <c r="S1278" s="107"/>
      <c r="T1278" s="107"/>
    </row>
    <row r="1279" spans="2:20" x14ac:dyDescent="0.25">
      <c r="B1279" s="68"/>
      <c r="C1279" s="68"/>
      <c r="D1279" s="68"/>
      <c r="E1279" s="68"/>
      <c r="F1279" s="68"/>
      <c r="G1279" s="100"/>
      <c r="H1279" s="91"/>
      <c r="I1279" s="91"/>
      <c r="J1279" s="68"/>
      <c r="K1279" s="69"/>
      <c r="L1279" s="102"/>
      <c r="M1279" s="102"/>
      <c r="N1279" s="68"/>
      <c r="O1279" s="68"/>
      <c r="P1279" s="106"/>
      <c r="Q1279" s="107"/>
      <c r="R1279" s="107"/>
      <c r="S1279" s="107"/>
      <c r="T1279" s="107"/>
    </row>
    <row r="1280" spans="2:20" x14ac:dyDescent="0.25">
      <c r="B1280" s="68"/>
      <c r="C1280" s="68"/>
      <c r="D1280" s="68"/>
      <c r="E1280" s="68"/>
      <c r="F1280" s="68"/>
      <c r="G1280" s="100"/>
      <c r="H1280" s="91"/>
      <c r="I1280" s="91"/>
      <c r="J1280" s="68"/>
      <c r="K1280" s="69"/>
      <c r="L1280" s="102"/>
      <c r="M1280" s="102"/>
      <c r="N1280" s="68"/>
      <c r="O1280" s="68"/>
      <c r="P1280" s="106"/>
      <c r="Q1280" s="107"/>
      <c r="R1280" s="107"/>
      <c r="S1280" s="107"/>
      <c r="T1280" s="107"/>
    </row>
    <row r="1281" spans="2:20" x14ac:dyDescent="0.25">
      <c r="B1281" s="68"/>
      <c r="C1281" s="68"/>
      <c r="D1281" s="68"/>
      <c r="E1281" s="68"/>
      <c r="F1281" s="68"/>
      <c r="G1281" s="100"/>
      <c r="H1281" s="91"/>
      <c r="I1281" s="91"/>
      <c r="J1281" s="68"/>
      <c r="K1281" s="69"/>
      <c r="L1281" s="102"/>
      <c r="M1281" s="102"/>
      <c r="N1281" s="68"/>
      <c r="O1281" s="68"/>
      <c r="P1281" s="106"/>
      <c r="Q1281" s="107"/>
      <c r="R1281" s="107"/>
      <c r="S1281" s="107"/>
      <c r="T1281" s="107"/>
    </row>
    <row r="1282" spans="2:20" x14ac:dyDescent="0.25">
      <c r="B1282" s="68"/>
      <c r="C1282" s="68"/>
      <c r="D1282" s="68"/>
      <c r="E1282" s="68"/>
      <c r="F1282" s="68"/>
      <c r="G1282" s="100"/>
      <c r="H1282" s="91"/>
      <c r="I1282" s="91"/>
      <c r="J1282" s="68"/>
      <c r="K1282" s="69"/>
      <c r="L1282" s="102"/>
      <c r="M1282" s="102"/>
      <c r="N1282" s="68"/>
      <c r="O1282" s="68"/>
      <c r="P1282" s="106"/>
      <c r="Q1282" s="107"/>
      <c r="R1282" s="107"/>
      <c r="S1282" s="107"/>
      <c r="T1282" s="107"/>
    </row>
    <row r="1283" spans="2:20" x14ac:dyDescent="0.25">
      <c r="B1283" s="68"/>
      <c r="C1283" s="68"/>
      <c r="D1283" s="68"/>
      <c r="E1283" s="68"/>
      <c r="F1283" s="68"/>
      <c r="G1283" s="100"/>
      <c r="H1283" s="91"/>
      <c r="I1283" s="91"/>
      <c r="J1283" s="68"/>
      <c r="K1283" s="69"/>
      <c r="L1283" s="102"/>
      <c r="M1283" s="102"/>
      <c r="N1283" s="68"/>
      <c r="O1283" s="68"/>
      <c r="P1283" s="106"/>
      <c r="Q1283" s="107"/>
      <c r="R1283" s="107"/>
      <c r="S1283" s="107"/>
      <c r="T1283" s="107"/>
    </row>
    <row r="1284" spans="2:20" x14ac:dyDescent="0.25">
      <c r="B1284" s="68"/>
      <c r="C1284" s="68"/>
      <c r="D1284" s="68"/>
      <c r="E1284" s="68"/>
      <c r="F1284" s="68"/>
      <c r="G1284" s="100"/>
      <c r="H1284" s="91"/>
      <c r="I1284" s="91"/>
      <c r="J1284" s="68"/>
      <c r="K1284" s="69"/>
      <c r="L1284" s="102"/>
      <c r="M1284" s="102"/>
      <c r="N1284" s="68"/>
      <c r="O1284" s="68"/>
      <c r="P1284" s="106"/>
      <c r="Q1284" s="107"/>
      <c r="R1284" s="107"/>
      <c r="S1284" s="107"/>
      <c r="T1284" s="107"/>
    </row>
    <row r="1285" spans="2:20" x14ac:dyDescent="0.25">
      <c r="B1285" s="68"/>
      <c r="C1285" s="68"/>
      <c r="D1285" s="68"/>
      <c r="E1285" s="68"/>
      <c r="F1285" s="68"/>
      <c r="G1285" s="100"/>
      <c r="H1285" s="91"/>
      <c r="I1285" s="91"/>
      <c r="J1285" s="68"/>
      <c r="K1285" s="69"/>
      <c r="L1285" s="102"/>
      <c r="M1285" s="102"/>
      <c r="N1285" s="68"/>
      <c r="O1285" s="68"/>
      <c r="P1285" s="106"/>
      <c r="Q1285" s="107"/>
      <c r="R1285" s="107"/>
      <c r="S1285" s="107"/>
      <c r="T1285" s="107"/>
    </row>
    <row r="1286" spans="2:20" x14ac:dyDescent="0.25">
      <c r="B1286" s="68"/>
      <c r="C1286" s="68"/>
      <c r="D1286" s="68"/>
      <c r="E1286" s="68"/>
      <c r="F1286" s="68"/>
      <c r="G1286" s="100"/>
      <c r="H1286" s="91"/>
      <c r="I1286" s="91"/>
      <c r="J1286" s="68"/>
      <c r="K1286" s="69"/>
      <c r="L1286" s="102"/>
      <c r="M1286" s="102"/>
      <c r="N1286" s="68"/>
      <c r="O1286" s="68"/>
      <c r="P1286" s="106"/>
      <c r="Q1286" s="107"/>
      <c r="R1286" s="107"/>
      <c r="S1286" s="107"/>
      <c r="T1286" s="107"/>
    </row>
    <row r="1287" spans="2:20" x14ac:dyDescent="0.25">
      <c r="B1287" s="68"/>
      <c r="C1287" s="68"/>
      <c r="D1287" s="68"/>
      <c r="E1287" s="68"/>
      <c r="F1287" s="68"/>
      <c r="G1287" s="100"/>
      <c r="H1287" s="91"/>
      <c r="I1287" s="91"/>
      <c r="J1287" s="68"/>
      <c r="K1287" s="69"/>
      <c r="L1287" s="102"/>
      <c r="M1287" s="102"/>
      <c r="N1287" s="68"/>
      <c r="O1287" s="68"/>
      <c r="P1287" s="106"/>
      <c r="Q1287" s="107"/>
      <c r="R1287" s="107"/>
      <c r="S1287" s="107"/>
      <c r="T1287" s="107"/>
    </row>
    <row r="1288" spans="2:20" x14ac:dyDescent="0.25">
      <c r="B1288" s="68"/>
      <c r="C1288" s="68"/>
      <c r="D1288" s="68"/>
      <c r="E1288" s="68"/>
      <c r="F1288" s="68"/>
      <c r="G1288" s="100"/>
      <c r="H1288" s="91"/>
      <c r="I1288" s="91"/>
      <c r="J1288" s="68"/>
      <c r="K1288" s="69"/>
      <c r="L1288" s="102"/>
      <c r="M1288" s="102"/>
      <c r="N1288" s="68"/>
      <c r="O1288" s="68"/>
      <c r="P1288" s="106"/>
      <c r="Q1288" s="107"/>
      <c r="R1288" s="107"/>
      <c r="S1288" s="107"/>
      <c r="T1288" s="107"/>
    </row>
    <row r="1289" spans="2:20" x14ac:dyDescent="0.25">
      <c r="B1289" s="68"/>
      <c r="C1289" s="68"/>
      <c r="D1289" s="68"/>
      <c r="E1289" s="68"/>
      <c r="F1289" s="68"/>
      <c r="G1289" s="100"/>
      <c r="H1289" s="91"/>
      <c r="I1289" s="91"/>
      <c r="J1289" s="68"/>
      <c r="K1289" s="69"/>
      <c r="L1289" s="102"/>
      <c r="M1289" s="102"/>
      <c r="N1289" s="68"/>
      <c r="O1289" s="68"/>
      <c r="P1289" s="106"/>
      <c r="Q1289" s="107"/>
      <c r="R1289" s="107"/>
      <c r="S1289" s="107"/>
      <c r="T1289" s="107"/>
    </row>
    <row r="1290" spans="2:20" x14ac:dyDescent="0.25">
      <c r="B1290" s="68"/>
      <c r="C1290" s="68"/>
      <c r="D1290" s="68"/>
      <c r="E1290" s="68"/>
      <c r="F1290" s="68"/>
      <c r="G1290" s="100"/>
      <c r="H1290" s="91"/>
      <c r="I1290" s="91"/>
      <c r="J1290" s="68"/>
      <c r="K1290" s="69"/>
      <c r="L1290" s="102"/>
      <c r="M1290" s="102"/>
      <c r="N1290" s="68"/>
      <c r="O1290" s="68"/>
      <c r="P1290" s="106"/>
      <c r="Q1290" s="107"/>
      <c r="R1290" s="107"/>
      <c r="S1290" s="107"/>
      <c r="T1290" s="107"/>
    </row>
    <row r="1291" spans="2:20" x14ac:dyDescent="0.25">
      <c r="B1291" s="68"/>
      <c r="C1291" s="68"/>
      <c r="D1291" s="68"/>
      <c r="E1291" s="68"/>
      <c r="F1291" s="68"/>
      <c r="G1291" s="100"/>
      <c r="H1291" s="91"/>
      <c r="I1291" s="91"/>
      <c r="J1291" s="68"/>
      <c r="K1291" s="69"/>
      <c r="L1291" s="102"/>
      <c r="M1291" s="102"/>
      <c r="N1291" s="68"/>
      <c r="O1291" s="68"/>
      <c r="P1291" s="106"/>
      <c r="Q1291" s="107"/>
      <c r="R1291" s="107"/>
      <c r="S1291" s="107"/>
      <c r="T1291" s="107"/>
    </row>
    <row r="1292" spans="2:20" x14ac:dyDescent="0.25">
      <c r="B1292" s="68"/>
      <c r="C1292" s="68"/>
      <c r="D1292" s="68"/>
      <c r="E1292" s="68"/>
      <c r="F1292" s="68"/>
      <c r="G1292" s="100"/>
      <c r="H1292" s="91"/>
      <c r="I1292" s="91"/>
      <c r="J1292" s="68"/>
      <c r="K1292" s="69"/>
      <c r="L1292" s="102"/>
      <c r="M1292" s="102"/>
      <c r="N1292" s="68"/>
      <c r="O1292" s="68"/>
      <c r="P1292" s="106"/>
      <c r="Q1292" s="107"/>
      <c r="R1292" s="107"/>
      <c r="S1292" s="107"/>
      <c r="T1292" s="107"/>
    </row>
    <row r="1293" spans="2:20" x14ac:dyDescent="0.25">
      <c r="B1293" s="68"/>
      <c r="C1293" s="68"/>
      <c r="D1293" s="68"/>
      <c r="E1293" s="68"/>
      <c r="F1293" s="68"/>
      <c r="G1293" s="100"/>
      <c r="H1293" s="91"/>
      <c r="I1293" s="91"/>
      <c r="J1293" s="68"/>
      <c r="K1293" s="69"/>
      <c r="L1293" s="102"/>
      <c r="M1293" s="102"/>
      <c r="N1293" s="68"/>
      <c r="O1293" s="68"/>
      <c r="P1293" s="106"/>
      <c r="Q1293" s="107"/>
      <c r="R1293" s="107"/>
      <c r="S1293" s="107"/>
      <c r="T1293" s="107"/>
    </row>
    <row r="1294" spans="2:20" x14ac:dyDescent="0.25">
      <c r="B1294" s="68"/>
      <c r="C1294" s="68"/>
      <c r="D1294" s="68"/>
      <c r="E1294" s="68"/>
      <c r="F1294" s="68"/>
      <c r="G1294" s="100"/>
      <c r="H1294" s="91"/>
      <c r="I1294" s="91"/>
      <c r="J1294" s="68"/>
      <c r="K1294" s="69"/>
      <c r="L1294" s="102"/>
      <c r="M1294" s="102"/>
      <c r="N1294" s="68"/>
      <c r="O1294" s="68"/>
      <c r="P1294" s="106"/>
      <c r="Q1294" s="107"/>
      <c r="R1294" s="107"/>
      <c r="S1294" s="107"/>
      <c r="T1294" s="107"/>
    </row>
    <row r="1295" spans="2:20" x14ac:dyDescent="0.25">
      <c r="B1295" s="68"/>
      <c r="C1295" s="68"/>
      <c r="D1295" s="68"/>
      <c r="E1295" s="68"/>
      <c r="F1295" s="68"/>
      <c r="G1295" s="100"/>
      <c r="H1295" s="91"/>
      <c r="I1295" s="91"/>
      <c r="J1295" s="68"/>
      <c r="K1295" s="69"/>
      <c r="L1295" s="102"/>
      <c r="M1295" s="102"/>
      <c r="N1295" s="68"/>
      <c r="O1295" s="68"/>
      <c r="P1295" s="106"/>
      <c r="Q1295" s="107"/>
      <c r="R1295" s="107"/>
      <c r="S1295" s="107"/>
      <c r="T1295" s="107"/>
    </row>
    <row r="1296" spans="2:20" x14ac:dyDescent="0.25">
      <c r="B1296" s="68"/>
      <c r="C1296" s="68"/>
      <c r="D1296" s="68"/>
      <c r="E1296" s="68"/>
      <c r="F1296" s="68"/>
      <c r="G1296" s="100"/>
      <c r="H1296" s="91"/>
      <c r="I1296" s="91"/>
      <c r="J1296" s="68"/>
      <c r="K1296" s="69"/>
      <c r="L1296" s="102"/>
      <c r="M1296" s="102"/>
      <c r="N1296" s="68"/>
      <c r="O1296" s="68"/>
      <c r="P1296" s="106"/>
      <c r="Q1296" s="107"/>
      <c r="R1296" s="107"/>
      <c r="S1296" s="107"/>
      <c r="T1296" s="107"/>
    </row>
    <row r="1297" spans="2:20" x14ac:dyDescent="0.25">
      <c r="B1297" s="68"/>
      <c r="C1297" s="68"/>
      <c r="D1297" s="68"/>
      <c r="E1297" s="68"/>
      <c r="F1297" s="68"/>
      <c r="G1297" s="100"/>
      <c r="H1297" s="91"/>
      <c r="I1297" s="91"/>
      <c r="J1297" s="68"/>
      <c r="K1297" s="69"/>
      <c r="L1297" s="102"/>
      <c r="M1297" s="102"/>
      <c r="N1297" s="68"/>
      <c r="O1297" s="68"/>
      <c r="P1297" s="106"/>
      <c r="Q1297" s="107"/>
      <c r="R1297" s="107"/>
      <c r="S1297" s="107"/>
      <c r="T1297" s="107"/>
    </row>
    <row r="1298" spans="2:20" x14ac:dyDescent="0.25">
      <c r="B1298" s="68"/>
      <c r="C1298" s="68"/>
      <c r="D1298" s="68"/>
      <c r="E1298" s="68"/>
      <c r="F1298" s="68"/>
      <c r="G1298" s="100"/>
      <c r="H1298" s="91"/>
      <c r="I1298" s="91"/>
      <c r="J1298" s="68"/>
      <c r="K1298" s="69"/>
      <c r="L1298" s="102"/>
      <c r="M1298" s="102"/>
      <c r="N1298" s="68"/>
      <c r="O1298" s="68"/>
      <c r="P1298" s="106"/>
      <c r="Q1298" s="107"/>
      <c r="R1298" s="107"/>
      <c r="S1298" s="107"/>
      <c r="T1298" s="107"/>
    </row>
    <row r="1299" spans="2:20" x14ac:dyDescent="0.25">
      <c r="B1299" s="68"/>
      <c r="C1299" s="68"/>
      <c r="D1299" s="68"/>
      <c r="E1299" s="68"/>
      <c r="F1299" s="68"/>
      <c r="G1299" s="100"/>
      <c r="H1299" s="91"/>
      <c r="I1299" s="91"/>
      <c r="J1299" s="68"/>
      <c r="K1299" s="69"/>
      <c r="L1299" s="102"/>
      <c r="M1299" s="102"/>
      <c r="N1299" s="68"/>
      <c r="O1299" s="68"/>
      <c r="P1299" s="106"/>
      <c r="Q1299" s="107"/>
      <c r="R1299" s="107"/>
      <c r="S1299" s="107"/>
      <c r="T1299" s="107"/>
    </row>
    <row r="1300" spans="2:20" x14ac:dyDescent="0.25">
      <c r="B1300" s="68"/>
      <c r="C1300" s="68"/>
      <c r="D1300" s="68"/>
      <c r="E1300" s="68"/>
      <c r="F1300" s="68"/>
      <c r="G1300" s="100"/>
      <c r="H1300" s="91"/>
      <c r="I1300" s="91"/>
      <c r="J1300" s="68"/>
      <c r="K1300" s="69"/>
      <c r="L1300" s="102"/>
      <c r="M1300" s="102"/>
      <c r="N1300" s="68"/>
      <c r="O1300" s="68"/>
      <c r="P1300" s="106"/>
      <c r="Q1300" s="107"/>
      <c r="R1300" s="107"/>
      <c r="S1300" s="107"/>
      <c r="T1300" s="107"/>
    </row>
    <row r="1301" spans="2:20" x14ac:dyDescent="0.25">
      <c r="B1301" s="68"/>
      <c r="C1301" s="68"/>
      <c r="D1301" s="68"/>
      <c r="E1301" s="68"/>
      <c r="F1301" s="68"/>
      <c r="G1301" s="100"/>
      <c r="H1301" s="91"/>
      <c r="I1301" s="91"/>
      <c r="J1301" s="68"/>
      <c r="K1301" s="69"/>
      <c r="L1301" s="102"/>
      <c r="M1301" s="102"/>
      <c r="N1301" s="68"/>
      <c r="O1301" s="68"/>
      <c r="P1301" s="106"/>
      <c r="Q1301" s="107"/>
      <c r="R1301" s="107"/>
      <c r="S1301" s="107"/>
      <c r="T1301" s="107"/>
    </row>
    <row r="1302" spans="2:20" x14ac:dyDescent="0.25">
      <c r="B1302" s="68"/>
      <c r="C1302" s="68"/>
      <c r="D1302" s="68"/>
      <c r="E1302" s="68"/>
      <c r="F1302" s="68"/>
      <c r="G1302" s="100"/>
      <c r="H1302" s="91"/>
      <c r="I1302" s="91"/>
      <c r="J1302" s="68"/>
      <c r="K1302" s="69"/>
      <c r="L1302" s="102"/>
      <c r="M1302" s="102"/>
      <c r="N1302" s="68"/>
      <c r="O1302" s="68"/>
      <c r="P1302" s="106"/>
      <c r="Q1302" s="107"/>
      <c r="R1302" s="107"/>
      <c r="S1302" s="107"/>
      <c r="T1302" s="107"/>
    </row>
    <row r="1303" spans="2:20" x14ac:dyDescent="0.25">
      <c r="B1303" s="68"/>
      <c r="C1303" s="68"/>
      <c r="D1303" s="68"/>
      <c r="E1303" s="68"/>
      <c r="F1303" s="68"/>
      <c r="G1303" s="100"/>
      <c r="H1303" s="91"/>
      <c r="I1303" s="91"/>
      <c r="J1303" s="68"/>
      <c r="K1303" s="69"/>
      <c r="L1303" s="102"/>
      <c r="M1303" s="102"/>
      <c r="N1303" s="68"/>
      <c r="O1303" s="68"/>
      <c r="P1303" s="106"/>
      <c r="Q1303" s="107"/>
      <c r="R1303" s="107"/>
      <c r="S1303" s="107"/>
      <c r="T1303" s="107"/>
    </row>
    <row r="1304" spans="2:20" x14ac:dyDescent="0.25">
      <c r="B1304" s="68"/>
      <c r="C1304" s="68"/>
      <c r="D1304" s="68"/>
      <c r="E1304" s="68"/>
      <c r="F1304" s="68"/>
      <c r="G1304" s="100"/>
      <c r="H1304" s="91"/>
      <c r="I1304" s="91"/>
      <c r="J1304" s="68"/>
      <c r="K1304" s="69"/>
      <c r="L1304" s="102"/>
      <c r="M1304" s="102"/>
      <c r="N1304" s="68"/>
      <c r="O1304" s="68"/>
      <c r="P1304" s="106"/>
      <c r="Q1304" s="107"/>
      <c r="R1304" s="107"/>
      <c r="S1304" s="107"/>
      <c r="T1304" s="107"/>
    </row>
    <row r="1305" spans="2:20" x14ac:dyDescent="0.25">
      <c r="B1305" s="68"/>
      <c r="C1305" s="68"/>
      <c r="D1305" s="68"/>
      <c r="E1305" s="68"/>
      <c r="F1305" s="68"/>
      <c r="G1305" s="100"/>
      <c r="H1305" s="91"/>
      <c r="I1305" s="91"/>
      <c r="J1305" s="68"/>
      <c r="K1305" s="69"/>
      <c r="L1305" s="102"/>
      <c r="M1305" s="102"/>
      <c r="N1305" s="68"/>
      <c r="O1305" s="68"/>
      <c r="P1305" s="106"/>
      <c r="Q1305" s="107"/>
      <c r="R1305" s="107"/>
      <c r="S1305" s="107"/>
      <c r="T1305" s="107"/>
    </row>
    <row r="1306" spans="2:20" x14ac:dyDescent="0.25">
      <c r="B1306" s="68"/>
      <c r="C1306" s="68"/>
      <c r="D1306" s="68"/>
      <c r="E1306" s="68"/>
      <c r="F1306" s="68"/>
      <c r="G1306" s="100"/>
      <c r="H1306" s="91"/>
      <c r="I1306" s="91"/>
      <c r="J1306" s="68"/>
      <c r="K1306" s="69"/>
      <c r="L1306" s="102"/>
      <c r="M1306" s="102"/>
      <c r="N1306" s="68"/>
      <c r="O1306" s="68"/>
      <c r="P1306" s="106"/>
      <c r="Q1306" s="107"/>
      <c r="R1306" s="107"/>
      <c r="S1306" s="107"/>
      <c r="T1306" s="107"/>
    </row>
    <row r="1307" spans="2:20" x14ac:dyDescent="0.25">
      <c r="B1307" s="68"/>
      <c r="C1307" s="68"/>
      <c r="D1307" s="68"/>
      <c r="E1307" s="68"/>
      <c r="F1307" s="68"/>
      <c r="G1307" s="100"/>
      <c r="H1307" s="91"/>
      <c r="I1307" s="91"/>
      <c r="J1307" s="68"/>
      <c r="K1307" s="69"/>
      <c r="L1307" s="102"/>
      <c r="M1307" s="102"/>
      <c r="N1307" s="68"/>
      <c r="O1307" s="68"/>
      <c r="P1307" s="106"/>
      <c r="Q1307" s="107"/>
      <c r="R1307" s="107"/>
      <c r="S1307" s="107"/>
      <c r="T1307" s="107"/>
    </row>
    <row r="1308" spans="2:20" x14ac:dyDescent="0.25">
      <c r="B1308" s="68"/>
      <c r="C1308" s="68"/>
      <c r="D1308" s="68"/>
      <c r="E1308" s="68"/>
      <c r="F1308" s="68"/>
      <c r="G1308" s="100"/>
      <c r="H1308" s="91"/>
      <c r="I1308" s="91"/>
      <c r="J1308" s="68"/>
      <c r="K1308" s="69"/>
      <c r="L1308" s="102"/>
      <c r="M1308" s="102"/>
      <c r="N1308" s="68"/>
      <c r="O1308" s="68"/>
      <c r="P1308" s="106"/>
      <c r="Q1308" s="107"/>
      <c r="R1308" s="107"/>
      <c r="S1308" s="107"/>
      <c r="T1308" s="107"/>
    </row>
    <row r="1309" spans="2:20" x14ac:dyDescent="0.25">
      <c r="B1309" s="68"/>
      <c r="C1309" s="68"/>
      <c r="D1309" s="68"/>
      <c r="E1309" s="68"/>
      <c r="F1309" s="68"/>
      <c r="G1309" s="100"/>
      <c r="H1309" s="91"/>
      <c r="I1309" s="91"/>
      <c r="J1309" s="68"/>
      <c r="K1309" s="69"/>
      <c r="L1309" s="102"/>
      <c r="M1309" s="102"/>
      <c r="N1309" s="68"/>
      <c r="O1309" s="68"/>
      <c r="P1309" s="106"/>
      <c r="Q1309" s="107"/>
      <c r="R1309" s="107"/>
      <c r="S1309" s="107"/>
      <c r="T1309" s="107"/>
    </row>
    <row r="1310" spans="2:20" x14ac:dyDescent="0.25">
      <c r="B1310" s="68"/>
      <c r="C1310" s="68"/>
      <c r="D1310" s="68"/>
      <c r="E1310" s="68"/>
      <c r="F1310" s="68"/>
      <c r="G1310" s="100"/>
      <c r="H1310" s="91"/>
      <c r="I1310" s="91"/>
      <c r="J1310" s="68"/>
      <c r="K1310" s="69"/>
      <c r="L1310" s="102"/>
      <c r="M1310" s="102"/>
      <c r="N1310" s="68"/>
      <c r="O1310" s="68"/>
      <c r="P1310" s="106"/>
      <c r="Q1310" s="107"/>
      <c r="R1310" s="107"/>
      <c r="S1310" s="107"/>
      <c r="T1310" s="107"/>
    </row>
    <row r="1311" spans="2:20" x14ac:dyDescent="0.25">
      <c r="B1311" s="68"/>
      <c r="C1311" s="68"/>
      <c r="D1311" s="68"/>
      <c r="E1311" s="68"/>
      <c r="F1311" s="68"/>
      <c r="G1311" s="100"/>
      <c r="H1311" s="91"/>
      <c r="I1311" s="91"/>
      <c r="J1311" s="68"/>
      <c r="K1311" s="69"/>
      <c r="L1311" s="102"/>
      <c r="M1311" s="102"/>
      <c r="N1311" s="68"/>
      <c r="O1311" s="68"/>
      <c r="P1311" s="106"/>
      <c r="Q1311" s="107"/>
      <c r="R1311" s="107"/>
      <c r="S1311" s="107"/>
      <c r="T1311" s="107"/>
    </row>
    <row r="1312" spans="2:20" x14ac:dyDescent="0.25">
      <c r="B1312" s="68"/>
      <c r="C1312" s="68"/>
      <c r="D1312" s="68"/>
      <c r="E1312" s="68"/>
      <c r="F1312" s="68"/>
      <c r="G1312" s="100"/>
      <c r="H1312" s="91"/>
      <c r="I1312" s="91"/>
      <c r="J1312" s="68"/>
      <c r="K1312" s="69"/>
      <c r="L1312" s="102"/>
      <c r="M1312" s="102"/>
      <c r="N1312" s="68"/>
      <c r="O1312" s="68"/>
      <c r="P1312" s="106"/>
      <c r="Q1312" s="107"/>
      <c r="R1312" s="107"/>
      <c r="S1312" s="107"/>
      <c r="T1312" s="107"/>
    </row>
    <row r="1313" spans="2:20" x14ac:dyDescent="0.25">
      <c r="B1313" s="68"/>
      <c r="C1313" s="68"/>
      <c r="D1313" s="68"/>
      <c r="E1313" s="68"/>
      <c r="F1313" s="68"/>
      <c r="G1313" s="100"/>
      <c r="H1313" s="91"/>
      <c r="I1313" s="91"/>
      <c r="J1313" s="68"/>
      <c r="K1313" s="69"/>
      <c r="L1313" s="102"/>
      <c r="M1313" s="102"/>
      <c r="N1313" s="68"/>
      <c r="O1313" s="68"/>
      <c r="P1313" s="106"/>
      <c r="Q1313" s="107"/>
      <c r="R1313" s="107"/>
      <c r="S1313" s="107"/>
      <c r="T1313" s="107"/>
    </row>
    <row r="1314" spans="2:20" x14ac:dyDescent="0.25">
      <c r="B1314" s="68"/>
      <c r="C1314" s="68"/>
      <c r="D1314" s="68"/>
      <c r="E1314" s="68"/>
      <c r="F1314" s="68"/>
      <c r="G1314" s="100"/>
      <c r="H1314" s="91"/>
      <c r="I1314" s="91"/>
      <c r="J1314" s="68"/>
      <c r="K1314" s="69"/>
      <c r="L1314" s="102"/>
      <c r="M1314" s="102"/>
      <c r="N1314" s="68"/>
      <c r="O1314" s="68"/>
      <c r="P1314" s="106"/>
      <c r="Q1314" s="107"/>
      <c r="R1314" s="107"/>
      <c r="S1314" s="107"/>
      <c r="T1314" s="107"/>
    </row>
    <row r="1315" spans="2:20" x14ac:dyDescent="0.25">
      <c r="B1315" s="68"/>
      <c r="C1315" s="68"/>
      <c r="D1315" s="68"/>
      <c r="E1315" s="68"/>
      <c r="F1315" s="68"/>
      <c r="G1315" s="100"/>
      <c r="H1315" s="91"/>
      <c r="I1315" s="91"/>
      <c r="J1315" s="68"/>
      <c r="K1315" s="69"/>
      <c r="L1315" s="102"/>
      <c r="M1315" s="102"/>
      <c r="N1315" s="68"/>
      <c r="O1315" s="68"/>
      <c r="P1315" s="106"/>
      <c r="Q1315" s="107"/>
      <c r="R1315" s="107"/>
      <c r="S1315" s="107"/>
      <c r="T1315" s="107"/>
    </row>
    <row r="1316" spans="2:20" x14ac:dyDescent="0.25">
      <c r="B1316" s="68"/>
      <c r="C1316" s="68"/>
      <c r="D1316" s="68"/>
      <c r="E1316" s="68"/>
      <c r="F1316" s="68"/>
      <c r="G1316" s="100"/>
      <c r="H1316" s="91"/>
      <c r="I1316" s="91"/>
      <c r="J1316" s="68"/>
      <c r="K1316" s="69"/>
      <c r="L1316" s="102"/>
      <c r="M1316" s="102"/>
      <c r="N1316" s="68"/>
      <c r="O1316" s="68"/>
      <c r="P1316" s="106"/>
      <c r="Q1316" s="107"/>
      <c r="R1316" s="107"/>
      <c r="S1316" s="107"/>
      <c r="T1316" s="107"/>
    </row>
    <row r="1317" spans="2:20" x14ac:dyDescent="0.25">
      <c r="B1317" s="68"/>
      <c r="C1317" s="68"/>
      <c r="D1317" s="68"/>
      <c r="E1317" s="68"/>
      <c r="F1317" s="68"/>
      <c r="G1317" s="100"/>
      <c r="H1317" s="91"/>
      <c r="I1317" s="91"/>
      <c r="J1317" s="68"/>
      <c r="K1317" s="69"/>
      <c r="L1317" s="102"/>
      <c r="M1317" s="102"/>
      <c r="N1317" s="68"/>
      <c r="O1317" s="68"/>
      <c r="P1317" s="106"/>
      <c r="Q1317" s="107"/>
      <c r="R1317" s="107"/>
      <c r="S1317" s="107"/>
      <c r="T1317" s="107"/>
    </row>
    <row r="1318" spans="2:20" x14ac:dyDescent="0.25">
      <c r="B1318" s="68"/>
      <c r="C1318" s="68"/>
      <c r="D1318" s="68"/>
      <c r="E1318" s="68"/>
      <c r="F1318" s="68"/>
      <c r="G1318" s="100"/>
      <c r="H1318" s="91"/>
      <c r="I1318" s="91"/>
      <c r="J1318" s="68"/>
      <c r="K1318" s="69"/>
      <c r="L1318" s="102"/>
      <c r="M1318" s="102"/>
      <c r="N1318" s="68"/>
      <c r="O1318" s="68"/>
      <c r="P1318" s="106"/>
      <c r="Q1318" s="107"/>
      <c r="R1318" s="107"/>
      <c r="S1318" s="107"/>
      <c r="T1318" s="107"/>
    </row>
    <row r="1319" spans="2:20" x14ac:dyDescent="0.25">
      <c r="B1319" s="68"/>
      <c r="C1319" s="68"/>
      <c r="D1319" s="68"/>
      <c r="E1319" s="68"/>
      <c r="F1319" s="68"/>
      <c r="G1319" s="100"/>
      <c r="H1319" s="91"/>
      <c r="I1319" s="91"/>
      <c r="J1319" s="68"/>
      <c r="K1319" s="69"/>
      <c r="L1319" s="102"/>
      <c r="M1319" s="102"/>
      <c r="N1319" s="68"/>
      <c r="O1319" s="68"/>
      <c r="P1319" s="106"/>
      <c r="Q1319" s="107"/>
      <c r="R1319" s="107"/>
      <c r="S1319" s="107"/>
      <c r="T1319" s="107"/>
    </row>
    <row r="1320" spans="2:20" x14ac:dyDescent="0.25">
      <c r="B1320" s="68"/>
      <c r="C1320" s="68"/>
      <c r="D1320" s="68"/>
      <c r="E1320" s="68"/>
      <c r="F1320" s="68"/>
      <c r="G1320" s="100"/>
      <c r="H1320" s="91"/>
      <c r="I1320" s="91"/>
      <c r="J1320" s="68"/>
      <c r="K1320" s="69"/>
      <c r="L1320" s="102"/>
      <c r="M1320" s="102"/>
      <c r="N1320" s="68"/>
      <c r="O1320" s="68"/>
      <c r="P1320" s="106"/>
      <c r="Q1320" s="107"/>
      <c r="R1320" s="107"/>
      <c r="S1320" s="107"/>
      <c r="T1320" s="107"/>
    </row>
    <row r="1321" spans="2:20" x14ac:dyDescent="0.25">
      <c r="B1321" s="68"/>
      <c r="C1321" s="68"/>
      <c r="D1321" s="68"/>
      <c r="E1321" s="68"/>
      <c r="F1321" s="68"/>
      <c r="G1321" s="100"/>
      <c r="H1321" s="91"/>
      <c r="I1321" s="91"/>
      <c r="J1321" s="68"/>
      <c r="K1321" s="69"/>
      <c r="L1321" s="102"/>
      <c r="M1321" s="102"/>
      <c r="N1321" s="68"/>
      <c r="O1321" s="68"/>
      <c r="P1321" s="106"/>
      <c r="Q1321" s="107"/>
      <c r="R1321" s="107"/>
      <c r="S1321" s="107"/>
      <c r="T1321" s="107"/>
    </row>
    <row r="1322" spans="2:20" x14ac:dyDescent="0.25">
      <c r="B1322" s="68"/>
      <c r="C1322" s="68"/>
      <c r="D1322" s="68"/>
      <c r="E1322" s="68"/>
      <c r="F1322" s="68"/>
      <c r="G1322" s="100"/>
      <c r="H1322" s="91"/>
      <c r="I1322" s="91"/>
      <c r="J1322" s="68"/>
      <c r="K1322" s="69"/>
      <c r="L1322" s="102"/>
      <c r="M1322" s="102"/>
      <c r="N1322" s="68"/>
      <c r="O1322" s="68"/>
      <c r="P1322" s="106"/>
      <c r="Q1322" s="107"/>
      <c r="R1322" s="107"/>
      <c r="S1322" s="107"/>
      <c r="T1322" s="107"/>
    </row>
    <row r="1323" spans="2:20" x14ac:dyDescent="0.25">
      <c r="B1323" s="68"/>
      <c r="C1323" s="68"/>
      <c r="D1323" s="68"/>
      <c r="E1323" s="68"/>
      <c r="F1323" s="68"/>
      <c r="G1323" s="100"/>
      <c r="H1323" s="91"/>
      <c r="I1323" s="91"/>
      <c r="J1323" s="68"/>
      <c r="K1323" s="69"/>
      <c r="L1323" s="102"/>
      <c r="M1323" s="102"/>
      <c r="N1323" s="68"/>
      <c r="O1323" s="68"/>
      <c r="P1323" s="106"/>
      <c r="Q1323" s="107"/>
      <c r="R1323" s="107"/>
      <c r="S1323" s="107"/>
      <c r="T1323" s="107"/>
    </row>
    <row r="1324" spans="2:20" x14ac:dyDescent="0.25">
      <c r="B1324" s="68"/>
      <c r="C1324" s="68"/>
      <c r="D1324" s="68"/>
      <c r="E1324" s="68"/>
      <c r="F1324" s="68"/>
      <c r="G1324" s="100"/>
      <c r="H1324" s="91"/>
      <c r="I1324" s="91"/>
      <c r="J1324" s="68"/>
      <c r="K1324" s="69"/>
      <c r="L1324" s="102"/>
      <c r="M1324" s="102"/>
      <c r="N1324" s="68"/>
      <c r="O1324" s="68"/>
      <c r="P1324" s="106"/>
      <c r="Q1324" s="107"/>
      <c r="R1324" s="107"/>
      <c r="S1324" s="107"/>
      <c r="T1324" s="107"/>
    </row>
    <row r="1325" spans="2:20" x14ac:dyDescent="0.25">
      <c r="B1325" s="68"/>
      <c r="C1325" s="68"/>
      <c r="D1325" s="68"/>
      <c r="E1325" s="68"/>
      <c r="F1325" s="68"/>
      <c r="G1325" s="100"/>
      <c r="H1325" s="91"/>
      <c r="I1325" s="91"/>
      <c r="J1325" s="68"/>
      <c r="K1325" s="69"/>
      <c r="L1325" s="102"/>
      <c r="M1325" s="102"/>
      <c r="N1325" s="68"/>
      <c r="O1325" s="68"/>
      <c r="P1325" s="106"/>
      <c r="Q1325" s="107"/>
      <c r="R1325" s="107"/>
      <c r="S1325" s="107"/>
      <c r="T1325" s="107"/>
    </row>
    <row r="1326" spans="2:20" x14ac:dyDescent="0.25">
      <c r="B1326" s="68"/>
      <c r="C1326" s="68"/>
      <c r="D1326" s="68"/>
      <c r="E1326" s="68"/>
      <c r="F1326" s="68"/>
      <c r="G1326" s="100"/>
      <c r="H1326" s="91"/>
      <c r="I1326" s="91"/>
      <c r="J1326" s="68"/>
      <c r="K1326" s="69"/>
      <c r="L1326" s="102"/>
      <c r="M1326" s="102"/>
      <c r="N1326" s="68"/>
      <c r="O1326" s="68"/>
      <c r="P1326" s="106"/>
      <c r="Q1326" s="107"/>
      <c r="R1326" s="107"/>
      <c r="S1326" s="107"/>
      <c r="T1326" s="107"/>
    </row>
    <row r="1327" spans="2:20" x14ac:dyDescent="0.25">
      <c r="B1327" s="68"/>
      <c r="C1327" s="68"/>
      <c r="D1327" s="68"/>
      <c r="E1327" s="68"/>
      <c r="F1327" s="68"/>
      <c r="G1327" s="100"/>
      <c r="H1327" s="91"/>
      <c r="I1327" s="91"/>
      <c r="J1327" s="68"/>
      <c r="K1327" s="69"/>
      <c r="L1327" s="102"/>
      <c r="M1327" s="102"/>
      <c r="N1327" s="68"/>
      <c r="O1327" s="68"/>
      <c r="P1327" s="106"/>
      <c r="Q1327" s="107"/>
      <c r="R1327" s="107"/>
      <c r="S1327" s="107"/>
      <c r="T1327" s="107"/>
    </row>
    <row r="1328" spans="2:20" x14ac:dyDescent="0.25">
      <c r="B1328" s="68"/>
      <c r="C1328" s="68"/>
      <c r="D1328" s="68"/>
      <c r="E1328" s="68"/>
      <c r="F1328" s="68"/>
      <c r="G1328" s="100"/>
      <c r="H1328" s="91"/>
      <c r="I1328" s="91"/>
      <c r="J1328" s="68"/>
      <c r="K1328" s="69"/>
      <c r="L1328" s="102"/>
      <c r="M1328" s="102"/>
      <c r="N1328" s="68"/>
      <c r="O1328" s="68"/>
      <c r="P1328" s="106"/>
      <c r="Q1328" s="107"/>
      <c r="R1328" s="107"/>
      <c r="S1328" s="107"/>
      <c r="T1328" s="107"/>
    </row>
    <row r="1329" spans="2:20" x14ac:dyDescent="0.25">
      <c r="B1329" s="68"/>
      <c r="C1329" s="68"/>
      <c r="D1329" s="68"/>
      <c r="E1329" s="68"/>
      <c r="F1329" s="68"/>
      <c r="G1329" s="100"/>
      <c r="H1329" s="91"/>
      <c r="I1329" s="91"/>
      <c r="J1329" s="68"/>
      <c r="K1329" s="69"/>
      <c r="L1329" s="102"/>
      <c r="M1329" s="102"/>
      <c r="N1329" s="68"/>
      <c r="O1329" s="68"/>
      <c r="P1329" s="106"/>
      <c r="Q1329" s="107"/>
      <c r="R1329" s="107"/>
      <c r="S1329" s="107"/>
      <c r="T1329" s="107"/>
    </row>
    <row r="1330" spans="2:20" x14ac:dyDescent="0.25">
      <c r="B1330" s="68"/>
      <c r="C1330" s="68"/>
      <c r="D1330" s="68"/>
      <c r="E1330" s="68"/>
      <c r="F1330" s="68"/>
      <c r="G1330" s="100"/>
      <c r="H1330" s="91"/>
      <c r="I1330" s="91"/>
      <c r="J1330" s="68"/>
      <c r="K1330" s="69"/>
      <c r="L1330" s="102"/>
      <c r="M1330" s="102"/>
      <c r="N1330" s="68"/>
      <c r="O1330" s="68"/>
      <c r="P1330" s="106"/>
      <c r="Q1330" s="107"/>
      <c r="R1330" s="107"/>
      <c r="S1330" s="107"/>
      <c r="T1330" s="107"/>
    </row>
    <row r="1331" spans="2:20" x14ac:dyDescent="0.25">
      <c r="B1331" s="68"/>
      <c r="C1331" s="68"/>
      <c r="D1331" s="68"/>
      <c r="E1331" s="68"/>
      <c r="F1331" s="68"/>
      <c r="G1331" s="100"/>
      <c r="H1331" s="91"/>
      <c r="I1331" s="91"/>
      <c r="J1331" s="68"/>
      <c r="K1331" s="69"/>
      <c r="L1331" s="102"/>
      <c r="M1331" s="102"/>
      <c r="N1331" s="68"/>
      <c r="O1331" s="68"/>
      <c r="P1331" s="106"/>
      <c r="Q1331" s="107"/>
      <c r="R1331" s="107"/>
      <c r="S1331" s="107"/>
      <c r="T1331" s="107"/>
    </row>
    <row r="1332" spans="2:20" x14ac:dyDescent="0.25">
      <c r="B1332" s="68"/>
      <c r="C1332" s="68"/>
      <c r="D1332" s="68"/>
      <c r="E1332" s="68"/>
      <c r="F1332" s="68"/>
      <c r="G1332" s="100"/>
      <c r="H1332" s="91"/>
      <c r="I1332" s="91"/>
      <c r="J1332" s="68"/>
      <c r="K1332" s="69"/>
      <c r="L1332" s="102"/>
      <c r="M1332" s="102"/>
      <c r="N1332" s="68"/>
      <c r="O1332" s="68"/>
      <c r="P1332" s="106"/>
      <c r="Q1332" s="107"/>
      <c r="R1332" s="107"/>
      <c r="S1332" s="107"/>
      <c r="T1332" s="107"/>
    </row>
    <row r="1333" spans="2:20" x14ac:dyDescent="0.25">
      <c r="B1333" s="68"/>
      <c r="C1333" s="68"/>
      <c r="D1333" s="68"/>
      <c r="E1333" s="68"/>
      <c r="F1333" s="68"/>
      <c r="G1333" s="100"/>
      <c r="H1333" s="91"/>
      <c r="I1333" s="91"/>
      <c r="J1333" s="68"/>
      <c r="K1333" s="69"/>
      <c r="L1333" s="102"/>
      <c r="M1333" s="102"/>
      <c r="N1333" s="68"/>
      <c r="O1333" s="68"/>
      <c r="P1333" s="106"/>
      <c r="Q1333" s="107"/>
      <c r="R1333" s="107"/>
      <c r="S1333" s="107"/>
      <c r="T1333" s="107"/>
    </row>
    <row r="1334" spans="2:20" x14ac:dyDescent="0.25">
      <c r="B1334" s="68"/>
      <c r="C1334" s="68"/>
      <c r="D1334" s="68"/>
      <c r="E1334" s="68"/>
      <c r="F1334" s="68"/>
      <c r="G1334" s="100"/>
      <c r="H1334" s="91"/>
      <c r="I1334" s="91"/>
      <c r="J1334" s="68"/>
      <c r="K1334" s="69"/>
      <c r="L1334" s="102"/>
      <c r="M1334" s="102"/>
      <c r="N1334" s="68"/>
      <c r="O1334" s="68"/>
      <c r="P1334" s="106"/>
      <c r="Q1334" s="107"/>
      <c r="R1334" s="107"/>
      <c r="S1334" s="107"/>
      <c r="T1334" s="107"/>
    </row>
    <row r="1335" spans="2:20" x14ac:dyDescent="0.25">
      <c r="B1335" s="68"/>
      <c r="C1335" s="68"/>
      <c r="D1335" s="68"/>
      <c r="E1335" s="68"/>
      <c r="F1335" s="68"/>
      <c r="G1335" s="100"/>
      <c r="H1335" s="91"/>
      <c r="I1335" s="91"/>
      <c r="J1335" s="68"/>
      <c r="K1335" s="69"/>
      <c r="L1335" s="102"/>
      <c r="M1335" s="102"/>
      <c r="N1335" s="68"/>
      <c r="O1335" s="68"/>
      <c r="P1335" s="106"/>
      <c r="Q1335" s="107"/>
      <c r="R1335" s="107"/>
      <c r="S1335" s="107"/>
      <c r="T1335" s="107"/>
    </row>
    <row r="1336" spans="2:20" x14ac:dyDescent="0.25">
      <c r="B1336" s="68"/>
      <c r="C1336" s="68"/>
      <c r="D1336" s="68"/>
      <c r="E1336" s="68"/>
      <c r="F1336" s="68"/>
      <c r="G1336" s="100"/>
      <c r="H1336" s="91"/>
      <c r="I1336" s="91"/>
      <c r="J1336" s="68"/>
      <c r="K1336" s="69"/>
      <c r="L1336" s="102"/>
      <c r="M1336" s="102"/>
      <c r="N1336" s="68"/>
      <c r="O1336" s="68"/>
      <c r="P1336" s="106"/>
      <c r="Q1336" s="107"/>
      <c r="R1336" s="107"/>
      <c r="S1336" s="107"/>
      <c r="T1336" s="107"/>
    </row>
    <row r="1337" spans="2:20" x14ac:dyDescent="0.25">
      <c r="B1337" s="68"/>
      <c r="C1337" s="68"/>
      <c r="D1337" s="68"/>
      <c r="E1337" s="68"/>
      <c r="F1337" s="68"/>
      <c r="G1337" s="100"/>
      <c r="H1337" s="91"/>
      <c r="I1337" s="91"/>
      <c r="J1337" s="68"/>
      <c r="K1337" s="69"/>
      <c r="L1337" s="102"/>
      <c r="M1337" s="102"/>
      <c r="N1337" s="68"/>
      <c r="O1337" s="68"/>
      <c r="P1337" s="106"/>
      <c r="Q1337" s="107"/>
      <c r="R1337" s="107"/>
      <c r="S1337" s="107"/>
      <c r="T1337" s="107"/>
    </row>
    <row r="1338" spans="2:20" x14ac:dyDescent="0.25">
      <c r="B1338" s="68"/>
      <c r="C1338" s="68"/>
      <c r="D1338" s="68"/>
      <c r="E1338" s="68"/>
      <c r="F1338" s="68"/>
      <c r="G1338" s="100"/>
      <c r="H1338" s="91"/>
      <c r="I1338" s="91"/>
      <c r="J1338" s="68"/>
      <c r="K1338" s="69"/>
      <c r="L1338" s="102"/>
      <c r="M1338" s="102"/>
      <c r="N1338" s="68"/>
      <c r="O1338" s="68"/>
      <c r="P1338" s="106"/>
      <c r="Q1338" s="107"/>
      <c r="R1338" s="107"/>
      <c r="S1338" s="107"/>
      <c r="T1338" s="107"/>
    </row>
    <row r="1339" spans="2:20" x14ac:dyDescent="0.25">
      <c r="B1339" s="68"/>
      <c r="C1339" s="68"/>
      <c r="D1339" s="68"/>
      <c r="E1339" s="68"/>
      <c r="F1339" s="68"/>
      <c r="G1339" s="100"/>
      <c r="H1339" s="91"/>
      <c r="I1339" s="91"/>
      <c r="J1339" s="68"/>
      <c r="K1339" s="69"/>
      <c r="L1339" s="102"/>
      <c r="M1339" s="102"/>
      <c r="N1339" s="68"/>
      <c r="O1339" s="68"/>
      <c r="P1339" s="106"/>
      <c r="Q1339" s="107"/>
      <c r="R1339" s="107"/>
      <c r="S1339" s="107"/>
      <c r="T1339" s="107"/>
    </row>
    <row r="1340" spans="2:20" x14ac:dyDescent="0.25">
      <c r="B1340" s="68"/>
      <c r="C1340" s="68"/>
      <c r="D1340" s="68"/>
      <c r="E1340" s="68"/>
      <c r="F1340" s="68"/>
      <c r="G1340" s="100"/>
      <c r="H1340" s="91"/>
      <c r="I1340" s="91"/>
      <c r="J1340" s="68"/>
      <c r="K1340" s="69"/>
      <c r="L1340" s="102"/>
      <c r="M1340" s="102"/>
      <c r="N1340" s="68"/>
      <c r="O1340" s="68"/>
      <c r="P1340" s="106"/>
      <c r="Q1340" s="107"/>
      <c r="R1340" s="107"/>
      <c r="S1340" s="107"/>
      <c r="T1340" s="107"/>
    </row>
    <row r="1341" spans="2:20" x14ac:dyDescent="0.25">
      <c r="B1341" s="68"/>
      <c r="C1341" s="68"/>
      <c r="D1341" s="68"/>
      <c r="E1341" s="68"/>
      <c r="F1341" s="68"/>
      <c r="G1341" s="100"/>
      <c r="H1341" s="91"/>
      <c r="I1341" s="91"/>
      <c r="J1341" s="68"/>
      <c r="K1341" s="69"/>
      <c r="L1341" s="102"/>
      <c r="M1341" s="102"/>
      <c r="N1341" s="68"/>
      <c r="O1341" s="68"/>
      <c r="P1341" s="106"/>
      <c r="Q1341" s="107"/>
      <c r="R1341" s="107"/>
      <c r="S1341" s="107"/>
      <c r="T1341" s="107"/>
    </row>
    <row r="1342" spans="2:20" x14ac:dyDescent="0.25">
      <c r="B1342" s="68"/>
      <c r="C1342" s="68"/>
      <c r="D1342" s="68"/>
      <c r="E1342" s="68"/>
      <c r="F1342" s="68"/>
      <c r="G1342" s="100"/>
      <c r="H1342" s="91"/>
      <c r="I1342" s="91"/>
      <c r="J1342" s="68"/>
      <c r="K1342" s="69"/>
      <c r="L1342" s="102"/>
      <c r="M1342" s="102"/>
      <c r="N1342" s="68"/>
      <c r="O1342" s="68"/>
      <c r="P1342" s="106"/>
      <c r="Q1342" s="107"/>
      <c r="R1342" s="107"/>
      <c r="S1342" s="107"/>
      <c r="T1342" s="107"/>
    </row>
    <row r="1343" spans="2:20" x14ac:dyDescent="0.25">
      <c r="B1343" s="68"/>
      <c r="C1343" s="68"/>
      <c r="D1343" s="68"/>
      <c r="E1343" s="68"/>
      <c r="F1343" s="68"/>
      <c r="G1343" s="100"/>
      <c r="H1343" s="91"/>
      <c r="I1343" s="91"/>
      <c r="J1343" s="68"/>
      <c r="K1343" s="69"/>
      <c r="L1343" s="102"/>
      <c r="M1343" s="102"/>
      <c r="N1343" s="68"/>
      <c r="O1343" s="68"/>
      <c r="P1343" s="106"/>
      <c r="Q1343" s="107"/>
      <c r="R1343" s="107"/>
      <c r="S1343" s="107"/>
      <c r="T1343" s="107"/>
    </row>
    <row r="1344" spans="2:20" x14ac:dyDescent="0.25">
      <c r="B1344" s="68"/>
      <c r="C1344" s="68"/>
      <c r="D1344" s="68"/>
      <c r="E1344" s="68"/>
      <c r="F1344" s="68"/>
      <c r="G1344" s="100"/>
      <c r="H1344" s="91"/>
      <c r="I1344" s="91"/>
      <c r="J1344" s="68"/>
      <c r="K1344" s="69"/>
      <c r="L1344" s="102"/>
      <c r="M1344" s="102"/>
      <c r="N1344" s="68"/>
      <c r="O1344" s="68"/>
      <c r="P1344" s="106"/>
      <c r="Q1344" s="107"/>
      <c r="R1344" s="107"/>
      <c r="S1344" s="107"/>
      <c r="T1344" s="107"/>
    </row>
    <row r="1345" spans="2:20" x14ac:dyDescent="0.25">
      <c r="B1345" s="68"/>
      <c r="C1345" s="68"/>
      <c r="D1345" s="68"/>
      <c r="E1345" s="68"/>
      <c r="F1345" s="68"/>
      <c r="G1345" s="100"/>
      <c r="H1345" s="91"/>
      <c r="I1345" s="91"/>
      <c r="J1345" s="68"/>
      <c r="K1345" s="69"/>
      <c r="L1345" s="102"/>
      <c r="M1345" s="102"/>
      <c r="N1345" s="68"/>
      <c r="O1345" s="68"/>
      <c r="P1345" s="106"/>
      <c r="Q1345" s="107"/>
      <c r="R1345" s="107"/>
      <c r="S1345" s="107"/>
      <c r="T1345" s="107"/>
    </row>
    <row r="1346" spans="2:20" x14ac:dyDescent="0.25">
      <c r="B1346" s="68"/>
      <c r="C1346" s="68"/>
      <c r="D1346" s="68"/>
      <c r="E1346" s="68"/>
      <c r="F1346" s="68"/>
      <c r="G1346" s="100"/>
      <c r="H1346" s="91"/>
      <c r="I1346" s="91"/>
      <c r="J1346" s="68"/>
      <c r="K1346" s="69"/>
      <c r="L1346" s="102"/>
      <c r="M1346" s="102"/>
      <c r="N1346" s="68"/>
      <c r="O1346" s="68"/>
      <c r="P1346" s="106"/>
      <c r="Q1346" s="107"/>
      <c r="R1346" s="107"/>
      <c r="S1346" s="107"/>
      <c r="T1346" s="107"/>
    </row>
    <row r="1347" spans="2:20" x14ac:dyDescent="0.25">
      <c r="B1347" s="68"/>
      <c r="C1347" s="68"/>
      <c r="D1347" s="68"/>
      <c r="E1347" s="68"/>
      <c r="F1347" s="68"/>
      <c r="G1347" s="100"/>
      <c r="H1347" s="91"/>
      <c r="I1347" s="91"/>
      <c r="J1347" s="68"/>
      <c r="K1347" s="69"/>
      <c r="L1347" s="102"/>
      <c r="M1347" s="102"/>
      <c r="N1347" s="68"/>
      <c r="O1347" s="68"/>
      <c r="P1347" s="106"/>
      <c r="Q1347" s="107"/>
      <c r="R1347" s="107"/>
      <c r="S1347" s="107"/>
      <c r="T1347" s="107"/>
    </row>
    <row r="1348" spans="2:20" x14ac:dyDescent="0.25">
      <c r="B1348" s="68"/>
      <c r="C1348" s="68"/>
      <c r="D1348" s="68"/>
      <c r="E1348" s="68"/>
      <c r="F1348" s="68"/>
      <c r="G1348" s="100"/>
      <c r="H1348" s="91"/>
      <c r="I1348" s="91"/>
      <c r="J1348" s="68"/>
      <c r="K1348" s="69"/>
      <c r="L1348" s="102"/>
      <c r="M1348" s="102"/>
      <c r="N1348" s="68"/>
      <c r="O1348" s="68"/>
      <c r="P1348" s="106"/>
      <c r="Q1348" s="107"/>
      <c r="R1348" s="107"/>
      <c r="S1348" s="107"/>
      <c r="T1348" s="107"/>
    </row>
    <row r="1349" spans="2:20" x14ac:dyDescent="0.25">
      <c r="B1349" s="68"/>
      <c r="C1349" s="68"/>
      <c r="D1349" s="68"/>
      <c r="E1349" s="68"/>
      <c r="F1349" s="68"/>
      <c r="G1349" s="100"/>
      <c r="H1349" s="91"/>
      <c r="I1349" s="91"/>
      <c r="J1349" s="68"/>
      <c r="K1349" s="69"/>
      <c r="L1349" s="102"/>
      <c r="M1349" s="102"/>
      <c r="N1349" s="68"/>
      <c r="O1349" s="68"/>
      <c r="P1349" s="106"/>
      <c r="Q1349" s="107"/>
      <c r="R1349" s="107"/>
      <c r="S1349" s="107"/>
      <c r="T1349" s="107"/>
    </row>
    <row r="1350" spans="2:20" x14ac:dyDescent="0.25">
      <c r="B1350" s="68"/>
      <c r="C1350" s="68"/>
      <c r="D1350" s="68"/>
      <c r="E1350" s="68"/>
      <c r="F1350" s="68"/>
      <c r="G1350" s="100"/>
      <c r="H1350" s="91"/>
      <c r="I1350" s="91"/>
      <c r="J1350" s="68"/>
      <c r="K1350" s="69"/>
      <c r="L1350" s="102"/>
      <c r="M1350" s="102"/>
      <c r="N1350" s="68"/>
      <c r="O1350" s="68"/>
      <c r="P1350" s="106"/>
      <c r="Q1350" s="107"/>
      <c r="R1350" s="107"/>
      <c r="S1350" s="107"/>
      <c r="T1350" s="107"/>
    </row>
    <row r="1351" spans="2:20" x14ac:dyDescent="0.25">
      <c r="B1351" s="68"/>
      <c r="C1351" s="68"/>
      <c r="D1351" s="68"/>
      <c r="E1351" s="68"/>
      <c r="F1351" s="68"/>
      <c r="G1351" s="100"/>
      <c r="H1351" s="91"/>
      <c r="I1351" s="91"/>
      <c r="J1351" s="68"/>
      <c r="K1351" s="69"/>
      <c r="L1351" s="102"/>
      <c r="M1351" s="102"/>
      <c r="N1351" s="68"/>
      <c r="O1351" s="68"/>
      <c r="P1351" s="106"/>
      <c r="Q1351" s="107"/>
      <c r="R1351" s="107"/>
      <c r="S1351" s="107"/>
      <c r="T1351" s="107"/>
    </row>
    <row r="1352" spans="2:20" x14ac:dyDescent="0.25">
      <c r="B1352" s="68"/>
      <c r="C1352" s="68"/>
      <c r="D1352" s="68"/>
      <c r="E1352" s="68"/>
      <c r="F1352" s="68"/>
      <c r="G1352" s="100"/>
      <c r="H1352" s="91"/>
      <c r="I1352" s="91"/>
      <c r="J1352" s="68"/>
      <c r="K1352" s="69"/>
      <c r="L1352" s="102"/>
      <c r="M1352" s="102"/>
      <c r="N1352" s="68"/>
      <c r="O1352" s="68"/>
      <c r="P1352" s="106"/>
      <c r="Q1352" s="107"/>
      <c r="R1352" s="107"/>
      <c r="S1352" s="107"/>
      <c r="T1352" s="107"/>
    </row>
    <row r="1353" spans="2:20" x14ac:dyDescent="0.25">
      <c r="B1353" s="68"/>
      <c r="C1353" s="68"/>
      <c r="D1353" s="68"/>
      <c r="E1353" s="68"/>
      <c r="F1353" s="68"/>
      <c r="G1353" s="100"/>
      <c r="H1353" s="91"/>
      <c r="I1353" s="91"/>
      <c r="J1353" s="68"/>
      <c r="K1353" s="69"/>
      <c r="L1353" s="102"/>
      <c r="M1353" s="102"/>
      <c r="N1353" s="68"/>
      <c r="O1353" s="68"/>
      <c r="P1353" s="106"/>
      <c r="Q1353" s="107"/>
      <c r="R1353" s="107"/>
      <c r="S1353" s="107"/>
      <c r="T1353" s="107"/>
    </row>
    <row r="1354" spans="2:20" x14ac:dyDescent="0.25">
      <c r="B1354" s="68"/>
      <c r="C1354" s="68"/>
      <c r="D1354" s="68"/>
      <c r="E1354" s="68"/>
      <c r="F1354" s="68"/>
      <c r="G1354" s="100"/>
      <c r="H1354" s="91"/>
      <c r="I1354" s="91"/>
      <c r="J1354" s="68"/>
      <c r="K1354" s="69"/>
      <c r="L1354" s="102"/>
      <c r="M1354" s="102"/>
      <c r="N1354" s="68"/>
      <c r="O1354" s="68"/>
      <c r="P1354" s="106"/>
      <c r="Q1354" s="107"/>
      <c r="R1354" s="107"/>
      <c r="S1354" s="107"/>
      <c r="T1354" s="107"/>
    </row>
    <row r="1355" spans="2:20" x14ac:dyDescent="0.25">
      <c r="B1355" s="68"/>
      <c r="C1355" s="68"/>
      <c r="D1355" s="68"/>
      <c r="E1355" s="68"/>
      <c r="F1355" s="68"/>
      <c r="G1355" s="100"/>
      <c r="H1355" s="91"/>
      <c r="I1355" s="91"/>
      <c r="J1355" s="68"/>
      <c r="K1355" s="69"/>
      <c r="L1355" s="102"/>
      <c r="M1355" s="102"/>
      <c r="N1355" s="68"/>
      <c r="O1355" s="68"/>
      <c r="P1355" s="106"/>
      <c r="Q1355" s="107"/>
      <c r="R1355" s="107"/>
      <c r="S1355" s="107"/>
      <c r="T1355" s="107"/>
    </row>
    <row r="1356" spans="2:20" x14ac:dyDescent="0.25">
      <c r="B1356" s="68"/>
      <c r="C1356" s="68"/>
      <c r="D1356" s="68"/>
      <c r="E1356" s="68"/>
      <c r="F1356" s="68"/>
      <c r="G1356" s="100"/>
      <c r="H1356" s="91"/>
      <c r="I1356" s="91"/>
      <c r="J1356" s="68"/>
      <c r="K1356" s="69"/>
      <c r="L1356" s="102"/>
      <c r="M1356" s="102"/>
      <c r="N1356" s="68"/>
      <c r="O1356" s="68"/>
      <c r="P1356" s="106"/>
      <c r="Q1356" s="107"/>
      <c r="R1356" s="107"/>
      <c r="S1356" s="107"/>
      <c r="T1356" s="107"/>
    </row>
    <row r="1357" spans="2:20" x14ac:dyDescent="0.25">
      <c r="B1357" s="68"/>
      <c r="C1357" s="68"/>
      <c r="D1357" s="68"/>
      <c r="E1357" s="68"/>
      <c r="F1357" s="68"/>
      <c r="G1357" s="100"/>
      <c r="H1357" s="91"/>
      <c r="I1357" s="91"/>
      <c r="J1357" s="68"/>
      <c r="K1357" s="69"/>
      <c r="L1357" s="102"/>
      <c r="M1357" s="102"/>
      <c r="N1357" s="68"/>
      <c r="O1357" s="68"/>
      <c r="P1357" s="106"/>
      <c r="Q1357" s="107"/>
      <c r="R1357" s="107"/>
      <c r="S1357" s="107"/>
      <c r="T1357" s="107"/>
    </row>
    <row r="1358" spans="2:20" x14ac:dyDescent="0.25">
      <c r="B1358" s="68"/>
      <c r="C1358" s="68"/>
      <c r="D1358" s="68"/>
      <c r="E1358" s="68"/>
      <c r="F1358" s="68"/>
      <c r="G1358" s="100"/>
      <c r="H1358" s="91"/>
      <c r="I1358" s="91"/>
      <c r="J1358" s="68"/>
      <c r="K1358" s="69"/>
      <c r="L1358" s="102"/>
      <c r="M1358" s="102"/>
      <c r="N1358" s="68"/>
      <c r="O1358" s="68"/>
      <c r="P1358" s="106"/>
      <c r="Q1358" s="107"/>
      <c r="R1358" s="107"/>
      <c r="S1358" s="107"/>
      <c r="T1358" s="107"/>
    </row>
    <row r="1359" spans="2:20" x14ac:dyDescent="0.25">
      <c r="B1359" s="68"/>
      <c r="C1359" s="68"/>
      <c r="D1359" s="68"/>
      <c r="E1359" s="68"/>
      <c r="F1359" s="68"/>
      <c r="G1359" s="100"/>
      <c r="H1359" s="91"/>
      <c r="I1359" s="91"/>
      <c r="J1359" s="68"/>
      <c r="K1359" s="69"/>
      <c r="L1359" s="102"/>
      <c r="M1359" s="102"/>
      <c r="N1359" s="68"/>
      <c r="O1359" s="68"/>
      <c r="P1359" s="106"/>
      <c r="Q1359" s="107"/>
      <c r="R1359" s="107"/>
      <c r="S1359" s="107"/>
      <c r="T1359" s="107"/>
    </row>
    <row r="1360" spans="2:20" x14ac:dyDescent="0.25">
      <c r="B1360" s="68"/>
      <c r="C1360" s="68"/>
      <c r="D1360" s="68"/>
      <c r="E1360" s="68"/>
      <c r="F1360" s="68"/>
      <c r="G1360" s="100"/>
      <c r="H1360" s="91"/>
      <c r="I1360" s="91"/>
      <c r="J1360" s="68"/>
      <c r="K1360" s="69"/>
      <c r="L1360" s="102"/>
      <c r="M1360" s="102"/>
      <c r="N1360" s="68"/>
      <c r="O1360" s="68"/>
      <c r="P1360" s="106"/>
      <c r="Q1360" s="107"/>
      <c r="R1360" s="107"/>
      <c r="S1360" s="107"/>
      <c r="T1360" s="107"/>
    </row>
    <row r="1361" spans="2:20" x14ac:dyDescent="0.25">
      <c r="B1361" s="68"/>
      <c r="C1361" s="68"/>
      <c r="D1361" s="68"/>
      <c r="E1361" s="68"/>
      <c r="F1361" s="68"/>
      <c r="G1361" s="100"/>
      <c r="H1361" s="91"/>
      <c r="I1361" s="91"/>
      <c r="J1361" s="68"/>
      <c r="K1361" s="69"/>
      <c r="L1361" s="102"/>
      <c r="M1361" s="102"/>
      <c r="N1361" s="68"/>
      <c r="O1361" s="68"/>
      <c r="P1361" s="106"/>
      <c r="Q1361" s="107"/>
      <c r="R1361" s="107"/>
      <c r="S1361" s="107"/>
      <c r="T1361" s="107"/>
    </row>
    <row r="1362" spans="2:20" x14ac:dyDescent="0.25">
      <c r="B1362" s="68"/>
      <c r="C1362" s="68"/>
      <c r="D1362" s="68"/>
      <c r="E1362" s="68"/>
      <c r="F1362" s="68"/>
      <c r="G1362" s="100"/>
      <c r="H1362" s="91"/>
      <c r="I1362" s="91"/>
      <c r="J1362" s="68"/>
      <c r="K1362" s="69"/>
      <c r="L1362" s="102"/>
      <c r="M1362" s="102"/>
      <c r="N1362" s="68"/>
      <c r="O1362" s="68"/>
      <c r="P1362" s="106"/>
      <c r="Q1362" s="107"/>
      <c r="R1362" s="107"/>
      <c r="S1362" s="107"/>
      <c r="T1362" s="107"/>
    </row>
    <row r="1363" spans="2:20" x14ac:dyDescent="0.25">
      <c r="B1363" s="68"/>
      <c r="C1363" s="68"/>
      <c r="D1363" s="68"/>
      <c r="E1363" s="68"/>
      <c r="F1363" s="68"/>
      <c r="G1363" s="100"/>
      <c r="H1363" s="91"/>
      <c r="I1363" s="91"/>
      <c r="J1363" s="68"/>
      <c r="K1363" s="69"/>
      <c r="L1363" s="102"/>
      <c r="M1363" s="102"/>
      <c r="N1363" s="68"/>
      <c r="O1363" s="68"/>
      <c r="P1363" s="106"/>
      <c r="Q1363" s="107"/>
      <c r="R1363" s="107"/>
      <c r="S1363" s="107"/>
      <c r="T1363" s="107"/>
    </row>
    <row r="1364" spans="2:20" x14ac:dyDescent="0.25">
      <c r="B1364" s="68"/>
      <c r="C1364" s="68"/>
      <c r="D1364" s="68"/>
      <c r="E1364" s="68"/>
      <c r="F1364" s="68"/>
      <c r="G1364" s="100"/>
      <c r="H1364" s="91"/>
      <c r="I1364" s="91"/>
      <c r="J1364" s="68"/>
      <c r="K1364" s="69"/>
      <c r="L1364" s="102"/>
      <c r="M1364" s="102"/>
      <c r="N1364" s="68"/>
      <c r="O1364" s="68"/>
      <c r="P1364" s="106"/>
      <c r="Q1364" s="107"/>
      <c r="R1364" s="107"/>
      <c r="S1364" s="107"/>
      <c r="T1364" s="107"/>
    </row>
    <row r="1365" spans="2:20" x14ac:dyDescent="0.25">
      <c r="B1365" s="68"/>
      <c r="C1365" s="68"/>
      <c r="D1365" s="68"/>
      <c r="E1365" s="68"/>
      <c r="F1365" s="68"/>
      <c r="G1365" s="100"/>
      <c r="H1365" s="91"/>
      <c r="I1365" s="91"/>
      <c r="J1365" s="68"/>
      <c r="K1365" s="69"/>
      <c r="L1365" s="102"/>
      <c r="M1365" s="102"/>
      <c r="N1365" s="68"/>
      <c r="O1365" s="68"/>
      <c r="P1365" s="106"/>
      <c r="Q1365" s="107"/>
      <c r="R1365" s="107"/>
      <c r="S1365" s="107"/>
      <c r="T1365" s="107"/>
    </row>
    <row r="1366" spans="2:20" x14ac:dyDescent="0.25">
      <c r="B1366" s="68"/>
      <c r="C1366" s="68"/>
      <c r="D1366" s="68"/>
      <c r="E1366" s="68"/>
      <c r="F1366" s="68"/>
      <c r="G1366" s="100"/>
      <c r="H1366" s="91"/>
      <c r="I1366" s="91"/>
      <c r="J1366" s="68"/>
      <c r="K1366" s="69"/>
      <c r="L1366" s="102"/>
      <c r="M1366" s="102"/>
      <c r="N1366" s="68"/>
      <c r="O1366" s="68"/>
      <c r="P1366" s="106"/>
      <c r="Q1366" s="107"/>
      <c r="R1366" s="107"/>
      <c r="S1366" s="107"/>
      <c r="T1366" s="107"/>
    </row>
    <row r="1367" spans="2:20" x14ac:dyDescent="0.25">
      <c r="B1367" s="68"/>
      <c r="C1367" s="68"/>
      <c r="D1367" s="68"/>
      <c r="E1367" s="68"/>
      <c r="F1367" s="68"/>
      <c r="G1367" s="100"/>
      <c r="H1367" s="91"/>
      <c r="I1367" s="91"/>
      <c r="J1367" s="68"/>
      <c r="K1367" s="69"/>
      <c r="L1367" s="102"/>
      <c r="M1367" s="102"/>
      <c r="N1367" s="68"/>
      <c r="O1367" s="68"/>
      <c r="P1367" s="106"/>
      <c r="Q1367" s="107"/>
      <c r="R1367" s="107"/>
      <c r="S1367" s="107"/>
      <c r="T1367" s="107"/>
    </row>
    <row r="1368" spans="2:20" x14ac:dyDescent="0.25">
      <c r="B1368" s="68"/>
      <c r="C1368" s="68"/>
      <c r="D1368" s="68"/>
      <c r="E1368" s="68"/>
      <c r="F1368" s="68"/>
      <c r="G1368" s="100"/>
      <c r="H1368" s="91"/>
      <c r="I1368" s="91"/>
      <c r="J1368" s="68"/>
      <c r="K1368" s="69"/>
      <c r="L1368" s="102"/>
      <c r="M1368" s="102"/>
      <c r="N1368" s="68"/>
      <c r="O1368" s="68"/>
      <c r="P1368" s="106"/>
      <c r="Q1368" s="107"/>
      <c r="R1368" s="107"/>
      <c r="S1368" s="107"/>
      <c r="T1368" s="107"/>
    </row>
    <row r="1369" spans="2:20" x14ac:dyDescent="0.25">
      <c r="B1369" s="68"/>
      <c r="C1369" s="68"/>
      <c r="D1369" s="68"/>
      <c r="E1369" s="68"/>
      <c r="F1369" s="68"/>
      <c r="G1369" s="100"/>
      <c r="H1369" s="91"/>
      <c r="I1369" s="91"/>
      <c r="J1369" s="68"/>
      <c r="K1369" s="69"/>
      <c r="L1369" s="102"/>
      <c r="M1369" s="102"/>
      <c r="N1369" s="68"/>
      <c r="O1369" s="68"/>
      <c r="P1369" s="106"/>
      <c r="Q1369" s="107"/>
      <c r="R1369" s="107"/>
      <c r="S1369" s="107"/>
      <c r="T1369" s="107"/>
    </row>
    <row r="1370" spans="2:20" x14ac:dyDescent="0.25">
      <c r="B1370" s="68"/>
      <c r="C1370" s="68"/>
      <c r="D1370" s="68"/>
      <c r="E1370" s="68"/>
      <c r="F1370" s="68"/>
      <c r="G1370" s="100"/>
      <c r="H1370" s="91"/>
      <c r="I1370" s="91"/>
      <c r="J1370" s="68"/>
      <c r="K1370" s="69"/>
      <c r="L1370" s="102"/>
      <c r="M1370" s="102"/>
      <c r="N1370" s="68"/>
      <c r="O1370" s="68"/>
      <c r="P1370" s="106"/>
      <c r="Q1370" s="107"/>
      <c r="R1370" s="107"/>
      <c r="S1370" s="107"/>
      <c r="T1370" s="107"/>
    </row>
    <row r="1371" spans="2:20" x14ac:dyDescent="0.25">
      <c r="B1371" s="68"/>
      <c r="C1371" s="68"/>
      <c r="D1371" s="68"/>
      <c r="E1371" s="68"/>
      <c r="F1371" s="68"/>
      <c r="G1371" s="100"/>
      <c r="H1371" s="91"/>
      <c r="I1371" s="91"/>
      <c r="J1371" s="68"/>
      <c r="K1371" s="69"/>
      <c r="L1371" s="102"/>
      <c r="M1371" s="102"/>
      <c r="N1371" s="68"/>
      <c r="O1371" s="68"/>
      <c r="P1371" s="106"/>
      <c r="Q1371" s="107"/>
      <c r="R1371" s="107"/>
      <c r="S1371" s="107"/>
      <c r="T1371" s="107"/>
    </row>
    <row r="1372" spans="2:20" x14ac:dyDescent="0.25">
      <c r="B1372" s="68"/>
      <c r="C1372" s="68"/>
      <c r="D1372" s="68"/>
      <c r="E1372" s="68"/>
      <c r="F1372" s="68"/>
      <c r="G1372" s="100"/>
      <c r="H1372" s="91"/>
      <c r="I1372" s="91"/>
      <c r="J1372" s="68"/>
      <c r="K1372" s="69"/>
      <c r="L1372" s="102"/>
      <c r="M1372" s="102"/>
      <c r="N1372" s="68"/>
      <c r="O1372" s="68"/>
      <c r="P1372" s="106"/>
      <c r="Q1372" s="107"/>
      <c r="R1372" s="107"/>
      <c r="S1372" s="107"/>
      <c r="T1372" s="107"/>
    </row>
    <row r="1373" spans="2:20" x14ac:dyDescent="0.25">
      <c r="B1373" s="68"/>
      <c r="C1373" s="68"/>
      <c r="D1373" s="68"/>
      <c r="E1373" s="68"/>
      <c r="F1373" s="68"/>
      <c r="G1373" s="100"/>
      <c r="H1373" s="91"/>
      <c r="I1373" s="91"/>
      <c r="J1373" s="68"/>
      <c r="K1373" s="69"/>
      <c r="L1373" s="102"/>
      <c r="M1373" s="102"/>
      <c r="N1373" s="68"/>
      <c r="O1373" s="68"/>
      <c r="P1373" s="106"/>
      <c r="Q1373" s="107"/>
      <c r="R1373" s="107"/>
      <c r="S1373" s="107"/>
      <c r="T1373" s="107"/>
    </row>
    <row r="1374" spans="2:20" x14ac:dyDescent="0.25">
      <c r="B1374" s="68"/>
      <c r="C1374" s="68"/>
      <c r="D1374" s="68"/>
      <c r="E1374" s="68"/>
      <c r="F1374" s="68"/>
      <c r="G1374" s="100"/>
      <c r="H1374" s="91"/>
      <c r="I1374" s="91"/>
      <c r="J1374" s="68"/>
      <c r="K1374" s="69"/>
      <c r="L1374" s="102"/>
      <c r="M1374" s="102"/>
      <c r="N1374" s="68"/>
      <c r="O1374" s="68"/>
      <c r="P1374" s="106"/>
      <c r="Q1374" s="107"/>
      <c r="R1374" s="107"/>
      <c r="S1374" s="107"/>
      <c r="T1374" s="107"/>
    </row>
    <row r="1375" spans="2:20" x14ac:dyDescent="0.25">
      <c r="B1375" s="68"/>
      <c r="C1375" s="68"/>
      <c r="D1375" s="68"/>
      <c r="E1375" s="68"/>
      <c r="F1375" s="68"/>
      <c r="G1375" s="100"/>
      <c r="H1375" s="91"/>
      <c r="I1375" s="91"/>
      <c r="J1375" s="68"/>
      <c r="K1375" s="69"/>
      <c r="L1375" s="102"/>
      <c r="M1375" s="102"/>
      <c r="N1375" s="68"/>
      <c r="O1375" s="68"/>
      <c r="P1375" s="106"/>
      <c r="Q1375" s="107"/>
      <c r="R1375" s="107"/>
      <c r="S1375" s="107"/>
      <c r="T1375" s="107"/>
    </row>
    <row r="1376" spans="2:20" x14ac:dyDescent="0.25">
      <c r="B1376" s="68"/>
      <c r="C1376" s="68"/>
      <c r="D1376" s="68"/>
      <c r="E1376" s="68"/>
      <c r="F1376" s="68"/>
      <c r="G1376" s="100"/>
      <c r="H1376" s="91"/>
      <c r="I1376" s="91"/>
      <c r="J1376" s="68"/>
      <c r="K1376" s="69"/>
      <c r="L1376" s="102"/>
      <c r="M1376" s="102"/>
      <c r="N1376" s="68"/>
      <c r="O1376" s="68"/>
      <c r="P1376" s="106"/>
      <c r="Q1376" s="107"/>
      <c r="R1376" s="107"/>
      <c r="S1376" s="107"/>
      <c r="T1376" s="107"/>
    </row>
    <row r="1377" spans="2:20" x14ac:dyDescent="0.25">
      <c r="B1377" s="68"/>
      <c r="C1377" s="68"/>
      <c r="D1377" s="68"/>
      <c r="E1377" s="68"/>
      <c r="F1377" s="68"/>
      <c r="G1377" s="100"/>
      <c r="H1377" s="91"/>
      <c r="I1377" s="91"/>
      <c r="J1377" s="68"/>
      <c r="K1377" s="69"/>
      <c r="L1377" s="102"/>
      <c r="M1377" s="102"/>
      <c r="N1377" s="68"/>
      <c r="O1377" s="68"/>
      <c r="P1377" s="106"/>
      <c r="Q1377" s="107"/>
      <c r="R1377" s="107"/>
      <c r="S1377" s="107"/>
      <c r="T1377" s="107"/>
    </row>
    <row r="1378" spans="2:20" x14ac:dyDescent="0.25">
      <c r="B1378" s="68"/>
      <c r="C1378" s="68"/>
      <c r="D1378" s="68"/>
      <c r="E1378" s="68"/>
      <c r="F1378" s="68"/>
      <c r="G1378" s="100"/>
      <c r="H1378" s="91"/>
      <c r="I1378" s="91"/>
      <c r="J1378" s="68"/>
      <c r="K1378" s="69"/>
      <c r="L1378" s="102"/>
      <c r="M1378" s="102"/>
      <c r="N1378" s="68"/>
      <c r="O1378" s="68"/>
      <c r="P1378" s="106"/>
      <c r="Q1378" s="107"/>
      <c r="R1378" s="107"/>
      <c r="S1378" s="107"/>
      <c r="T1378" s="107"/>
    </row>
    <row r="1379" spans="2:20" x14ac:dyDescent="0.25">
      <c r="B1379" s="68"/>
      <c r="C1379" s="68"/>
      <c r="D1379" s="68"/>
      <c r="E1379" s="68"/>
      <c r="F1379" s="68"/>
      <c r="G1379" s="100"/>
      <c r="H1379" s="91"/>
      <c r="I1379" s="91"/>
      <c r="J1379" s="68"/>
      <c r="K1379" s="69"/>
      <c r="L1379" s="102"/>
      <c r="M1379" s="102"/>
      <c r="N1379" s="68"/>
      <c r="O1379" s="68"/>
      <c r="P1379" s="106"/>
      <c r="Q1379" s="107"/>
      <c r="R1379" s="107"/>
      <c r="S1379" s="107"/>
      <c r="T1379" s="107"/>
    </row>
    <row r="1380" spans="2:20" x14ac:dyDescent="0.25">
      <c r="B1380" s="68"/>
      <c r="C1380" s="68"/>
      <c r="D1380" s="68"/>
      <c r="E1380" s="68"/>
      <c r="F1380" s="68"/>
      <c r="G1380" s="100"/>
      <c r="H1380" s="91"/>
      <c r="I1380" s="91"/>
      <c r="J1380" s="68"/>
      <c r="K1380" s="69"/>
      <c r="L1380" s="102"/>
      <c r="M1380" s="102"/>
      <c r="N1380" s="68"/>
      <c r="O1380" s="68"/>
      <c r="P1380" s="106"/>
      <c r="Q1380" s="107"/>
      <c r="R1380" s="107"/>
      <c r="S1380" s="107"/>
      <c r="T1380" s="107"/>
    </row>
    <row r="1381" spans="2:20" x14ac:dyDescent="0.25">
      <c r="B1381" s="68"/>
      <c r="C1381" s="68"/>
      <c r="D1381" s="68"/>
      <c r="E1381" s="68"/>
      <c r="F1381" s="68"/>
      <c r="G1381" s="100"/>
      <c r="H1381" s="91"/>
      <c r="I1381" s="91"/>
      <c r="J1381" s="68"/>
      <c r="K1381" s="69"/>
      <c r="L1381" s="102"/>
      <c r="M1381" s="102"/>
      <c r="N1381" s="68"/>
      <c r="O1381" s="68"/>
      <c r="P1381" s="106"/>
      <c r="Q1381" s="107"/>
      <c r="R1381" s="107"/>
      <c r="S1381" s="107"/>
      <c r="T1381" s="107"/>
    </row>
    <row r="1382" spans="2:20" x14ac:dyDescent="0.25">
      <c r="B1382" s="68"/>
      <c r="C1382" s="68"/>
      <c r="D1382" s="68"/>
      <c r="E1382" s="68"/>
      <c r="F1382" s="68"/>
      <c r="G1382" s="100"/>
      <c r="H1382" s="91"/>
      <c r="I1382" s="91"/>
      <c r="J1382" s="68"/>
      <c r="K1382" s="69"/>
      <c r="L1382" s="102"/>
      <c r="M1382" s="102"/>
      <c r="N1382" s="68"/>
      <c r="O1382" s="68"/>
      <c r="P1382" s="106"/>
      <c r="Q1382" s="107"/>
      <c r="R1382" s="107"/>
      <c r="S1382" s="107"/>
      <c r="T1382" s="107"/>
    </row>
    <row r="1383" spans="2:20" x14ac:dyDescent="0.25">
      <c r="B1383" s="68"/>
      <c r="C1383" s="68"/>
      <c r="D1383" s="68"/>
      <c r="E1383" s="68"/>
      <c r="F1383" s="68"/>
      <c r="G1383" s="100"/>
      <c r="H1383" s="91"/>
      <c r="I1383" s="91"/>
      <c r="J1383" s="68"/>
      <c r="K1383" s="69"/>
      <c r="L1383" s="102"/>
      <c r="M1383" s="102"/>
      <c r="N1383" s="68"/>
      <c r="O1383" s="68"/>
      <c r="P1383" s="106"/>
      <c r="Q1383" s="107"/>
      <c r="R1383" s="107"/>
      <c r="S1383" s="107"/>
      <c r="T1383" s="107"/>
    </row>
    <row r="1384" spans="2:20" x14ac:dyDescent="0.25">
      <c r="B1384" s="68"/>
      <c r="C1384" s="68"/>
      <c r="D1384" s="68"/>
      <c r="E1384" s="68"/>
      <c r="F1384" s="68"/>
      <c r="G1384" s="100"/>
      <c r="H1384" s="91"/>
      <c r="I1384" s="91"/>
      <c r="J1384" s="68"/>
      <c r="K1384" s="69"/>
      <c r="L1384" s="102"/>
      <c r="M1384" s="102"/>
      <c r="N1384" s="68"/>
      <c r="O1384" s="68"/>
      <c r="P1384" s="106"/>
      <c r="Q1384" s="107"/>
      <c r="R1384" s="107"/>
      <c r="S1384" s="107"/>
      <c r="T1384" s="107"/>
    </row>
    <row r="1385" spans="2:20" x14ac:dyDescent="0.25">
      <c r="B1385" s="68"/>
      <c r="C1385" s="68"/>
      <c r="D1385" s="68"/>
      <c r="E1385" s="68"/>
      <c r="F1385" s="68"/>
      <c r="G1385" s="100"/>
      <c r="H1385" s="91"/>
      <c r="I1385" s="91"/>
      <c r="J1385" s="68"/>
      <c r="K1385" s="69"/>
      <c r="L1385" s="102"/>
      <c r="M1385" s="102"/>
      <c r="N1385" s="68"/>
      <c r="O1385" s="68"/>
      <c r="P1385" s="106"/>
      <c r="Q1385" s="107"/>
      <c r="R1385" s="107"/>
      <c r="S1385" s="107"/>
      <c r="T1385" s="107"/>
    </row>
    <row r="1386" spans="2:20" x14ac:dyDescent="0.25">
      <c r="B1386" s="68"/>
      <c r="C1386" s="68"/>
      <c r="D1386" s="68"/>
      <c r="E1386" s="68"/>
      <c r="F1386" s="68"/>
      <c r="G1386" s="100"/>
      <c r="H1386" s="91"/>
      <c r="I1386" s="91"/>
      <c r="J1386" s="68"/>
      <c r="K1386" s="69"/>
      <c r="L1386" s="102"/>
      <c r="M1386" s="102"/>
      <c r="N1386" s="68"/>
      <c r="O1386" s="68"/>
      <c r="P1386" s="106"/>
      <c r="Q1386" s="107"/>
      <c r="R1386" s="107"/>
      <c r="S1386" s="107"/>
      <c r="T1386" s="107"/>
    </row>
    <row r="1387" spans="2:20" x14ac:dyDescent="0.25">
      <c r="B1387" s="68"/>
      <c r="C1387" s="68"/>
      <c r="D1387" s="68"/>
      <c r="E1387" s="68"/>
      <c r="F1387" s="68"/>
      <c r="G1387" s="100"/>
      <c r="H1387" s="91"/>
      <c r="I1387" s="91"/>
      <c r="J1387" s="68"/>
      <c r="K1387" s="69"/>
      <c r="L1387" s="102"/>
      <c r="M1387" s="102"/>
      <c r="N1387" s="68"/>
      <c r="O1387" s="68"/>
      <c r="P1387" s="106"/>
      <c r="Q1387" s="107"/>
      <c r="R1387" s="107"/>
      <c r="S1387" s="107"/>
      <c r="T1387" s="107"/>
    </row>
    <row r="1388" spans="2:20" x14ac:dyDescent="0.25">
      <c r="B1388" s="68"/>
      <c r="C1388" s="68"/>
      <c r="D1388" s="68"/>
      <c r="E1388" s="68"/>
      <c r="F1388" s="68"/>
      <c r="G1388" s="100"/>
      <c r="H1388" s="91"/>
      <c r="I1388" s="91"/>
      <c r="J1388" s="68"/>
      <c r="K1388" s="69"/>
      <c r="L1388" s="102"/>
      <c r="M1388" s="102"/>
      <c r="N1388" s="68"/>
      <c r="O1388" s="68"/>
      <c r="P1388" s="106"/>
      <c r="Q1388" s="107"/>
      <c r="R1388" s="107"/>
      <c r="S1388" s="107"/>
      <c r="T1388" s="107"/>
    </row>
    <row r="1389" spans="2:20" x14ac:dyDescent="0.25">
      <c r="B1389" s="68"/>
      <c r="C1389" s="68"/>
      <c r="D1389" s="68"/>
      <c r="E1389" s="68"/>
      <c r="F1389" s="68"/>
      <c r="G1389" s="100"/>
      <c r="H1389" s="91"/>
      <c r="I1389" s="91"/>
      <c r="J1389" s="68"/>
      <c r="K1389" s="69"/>
      <c r="L1389" s="102"/>
      <c r="M1389" s="102"/>
      <c r="N1389" s="68"/>
      <c r="O1389" s="68"/>
      <c r="P1389" s="106"/>
      <c r="Q1389" s="107"/>
      <c r="R1389" s="107"/>
      <c r="S1389" s="107"/>
      <c r="T1389" s="107"/>
    </row>
    <row r="1390" spans="2:20" x14ac:dyDescent="0.25">
      <c r="B1390" s="68"/>
      <c r="C1390" s="68"/>
      <c r="D1390" s="68"/>
      <c r="E1390" s="68"/>
      <c r="F1390" s="68"/>
      <c r="G1390" s="100"/>
      <c r="H1390" s="91"/>
      <c r="I1390" s="91"/>
      <c r="J1390" s="68"/>
      <c r="K1390" s="69"/>
      <c r="L1390" s="102"/>
      <c r="M1390" s="102"/>
      <c r="N1390" s="68"/>
      <c r="O1390" s="68"/>
      <c r="P1390" s="106"/>
      <c r="Q1390" s="107"/>
      <c r="R1390" s="107"/>
      <c r="S1390" s="107"/>
      <c r="T1390" s="107"/>
    </row>
    <row r="1391" spans="2:20" x14ac:dyDescent="0.25">
      <c r="B1391" s="68"/>
      <c r="C1391" s="68"/>
      <c r="D1391" s="68"/>
      <c r="E1391" s="68"/>
      <c r="F1391" s="68"/>
      <c r="G1391" s="100"/>
      <c r="H1391" s="91"/>
      <c r="I1391" s="91"/>
      <c r="J1391" s="68"/>
      <c r="K1391" s="69"/>
      <c r="L1391" s="102"/>
      <c r="M1391" s="102"/>
      <c r="N1391" s="68"/>
      <c r="O1391" s="68"/>
      <c r="P1391" s="106"/>
      <c r="Q1391" s="107"/>
      <c r="R1391" s="107"/>
      <c r="S1391" s="107"/>
      <c r="T1391" s="107"/>
    </row>
    <row r="1392" spans="2:20" x14ac:dyDescent="0.25">
      <c r="B1392" s="68"/>
      <c r="C1392" s="68"/>
      <c r="D1392" s="68"/>
      <c r="E1392" s="68"/>
      <c r="F1392" s="68"/>
      <c r="G1392" s="100"/>
      <c r="H1392" s="91"/>
      <c r="I1392" s="91"/>
      <c r="J1392" s="68"/>
      <c r="K1392" s="69"/>
      <c r="L1392" s="102"/>
      <c r="M1392" s="102"/>
      <c r="N1392" s="68"/>
      <c r="O1392" s="68"/>
      <c r="P1392" s="106"/>
      <c r="Q1392" s="107"/>
      <c r="R1392" s="107"/>
      <c r="S1392" s="107"/>
      <c r="T1392" s="107"/>
    </row>
    <row r="1393" spans="2:20" x14ac:dyDescent="0.25">
      <c r="B1393" s="68"/>
      <c r="C1393" s="68"/>
      <c r="D1393" s="68"/>
      <c r="E1393" s="68"/>
      <c r="F1393" s="68"/>
      <c r="G1393" s="100"/>
      <c r="H1393" s="91"/>
      <c r="I1393" s="91"/>
      <c r="J1393" s="68"/>
      <c r="K1393" s="69"/>
      <c r="L1393" s="102"/>
      <c r="M1393" s="102"/>
      <c r="N1393" s="68"/>
      <c r="O1393" s="68"/>
      <c r="P1393" s="106"/>
      <c r="Q1393" s="107"/>
      <c r="R1393" s="107"/>
      <c r="S1393" s="107"/>
      <c r="T1393" s="107"/>
    </row>
    <row r="1394" spans="2:20" x14ac:dyDescent="0.25">
      <c r="B1394" s="68"/>
      <c r="C1394" s="68"/>
      <c r="D1394" s="68"/>
      <c r="E1394" s="68"/>
      <c r="F1394" s="68"/>
      <c r="G1394" s="100"/>
      <c r="H1394" s="91"/>
      <c r="I1394" s="91"/>
      <c r="J1394" s="68"/>
      <c r="K1394" s="69"/>
      <c r="L1394" s="102"/>
      <c r="M1394" s="102"/>
      <c r="N1394" s="68"/>
      <c r="O1394" s="68"/>
      <c r="P1394" s="106"/>
      <c r="Q1394" s="107"/>
      <c r="R1394" s="107"/>
      <c r="S1394" s="107"/>
      <c r="T1394" s="107"/>
    </row>
    <row r="1395" spans="2:20" x14ac:dyDescent="0.25">
      <c r="B1395" s="68"/>
      <c r="C1395" s="68"/>
      <c r="D1395" s="68"/>
      <c r="E1395" s="68"/>
      <c r="F1395" s="68"/>
      <c r="G1395" s="100"/>
      <c r="H1395" s="91"/>
      <c r="I1395" s="91"/>
      <c r="J1395" s="68"/>
      <c r="K1395" s="69"/>
      <c r="L1395" s="102"/>
      <c r="M1395" s="102"/>
      <c r="N1395" s="68"/>
      <c r="O1395" s="68"/>
      <c r="P1395" s="106"/>
      <c r="Q1395" s="107"/>
      <c r="R1395" s="107"/>
      <c r="S1395" s="107"/>
      <c r="T1395" s="107"/>
    </row>
    <row r="1396" spans="2:20" x14ac:dyDescent="0.25">
      <c r="B1396" s="68"/>
      <c r="C1396" s="68"/>
      <c r="D1396" s="68"/>
      <c r="E1396" s="68"/>
      <c r="F1396" s="68"/>
      <c r="G1396" s="100"/>
      <c r="H1396" s="91"/>
      <c r="I1396" s="91"/>
      <c r="J1396" s="68"/>
      <c r="K1396" s="69"/>
      <c r="L1396" s="102"/>
      <c r="M1396" s="102"/>
      <c r="N1396" s="68"/>
      <c r="O1396" s="68"/>
      <c r="P1396" s="106"/>
      <c r="Q1396" s="107"/>
      <c r="R1396" s="107"/>
      <c r="S1396" s="107"/>
      <c r="T1396" s="107"/>
    </row>
    <row r="1397" spans="2:20" x14ac:dyDescent="0.25">
      <c r="B1397" s="68"/>
      <c r="C1397" s="68"/>
      <c r="D1397" s="68"/>
      <c r="E1397" s="68"/>
      <c r="F1397" s="68"/>
      <c r="G1397" s="100"/>
      <c r="H1397" s="91"/>
      <c r="I1397" s="91"/>
      <c r="J1397" s="68"/>
      <c r="K1397" s="69"/>
      <c r="L1397" s="102"/>
      <c r="M1397" s="102"/>
      <c r="N1397" s="68"/>
      <c r="O1397" s="68"/>
      <c r="P1397" s="106"/>
      <c r="Q1397" s="107"/>
      <c r="R1397" s="107"/>
      <c r="S1397" s="107"/>
      <c r="T1397" s="107"/>
    </row>
    <row r="1398" spans="2:20" x14ac:dyDescent="0.25">
      <c r="B1398" s="68"/>
      <c r="C1398" s="68"/>
      <c r="D1398" s="68"/>
      <c r="E1398" s="68"/>
      <c r="F1398" s="68"/>
      <c r="G1398" s="100"/>
      <c r="H1398" s="91"/>
      <c r="I1398" s="91"/>
      <c r="J1398" s="68"/>
      <c r="K1398" s="69"/>
      <c r="L1398" s="102"/>
      <c r="M1398" s="102"/>
      <c r="N1398" s="68"/>
      <c r="O1398" s="68"/>
      <c r="P1398" s="106"/>
      <c r="Q1398" s="107"/>
      <c r="R1398" s="107"/>
      <c r="S1398" s="107"/>
      <c r="T1398" s="107"/>
    </row>
    <row r="1399" spans="2:20" x14ac:dyDescent="0.25">
      <c r="B1399" s="68"/>
      <c r="C1399" s="68"/>
      <c r="D1399" s="68"/>
      <c r="E1399" s="68"/>
      <c r="F1399" s="68"/>
      <c r="G1399" s="100"/>
      <c r="H1399" s="91"/>
      <c r="I1399" s="91"/>
      <c r="J1399" s="68"/>
      <c r="K1399" s="69"/>
      <c r="L1399" s="102"/>
      <c r="M1399" s="102"/>
      <c r="N1399" s="68"/>
      <c r="O1399" s="68"/>
      <c r="P1399" s="106"/>
      <c r="Q1399" s="107"/>
      <c r="R1399" s="107"/>
      <c r="S1399" s="107"/>
      <c r="T1399" s="107"/>
    </row>
    <row r="1400" spans="2:20" x14ac:dyDescent="0.25">
      <c r="B1400" s="68"/>
      <c r="C1400" s="68"/>
      <c r="D1400" s="68"/>
      <c r="E1400" s="68"/>
      <c r="F1400" s="68"/>
      <c r="G1400" s="100"/>
      <c r="H1400" s="91"/>
      <c r="I1400" s="91"/>
      <c r="J1400" s="68"/>
      <c r="K1400" s="69"/>
      <c r="L1400" s="102"/>
      <c r="M1400" s="102"/>
      <c r="N1400" s="68"/>
      <c r="O1400" s="68"/>
      <c r="P1400" s="106"/>
      <c r="Q1400" s="107"/>
      <c r="R1400" s="107"/>
      <c r="S1400" s="107"/>
      <c r="T1400" s="107"/>
    </row>
    <row r="1401" spans="2:20" x14ac:dyDescent="0.25">
      <c r="B1401" s="68"/>
      <c r="C1401" s="68"/>
      <c r="D1401" s="68"/>
      <c r="E1401" s="68"/>
      <c r="F1401" s="68"/>
      <c r="G1401" s="100"/>
      <c r="H1401" s="91"/>
      <c r="I1401" s="91"/>
      <c r="J1401" s="68"/>
      <c r="K1401" s="69"/>
      <c r="L1401" s="102"/>
      <c r="M1401" s="102"/>
      <c r="N1401" s="68"/>
      <c r="O1401" s="68"/>
      <c r="P1401" s="106"/>
      <c r="Q1401" s="107"/>
      <c r="R1401" s="107"/>
      <c r="S1401" s="107"/>
      <c r="T1401" s="107"/>
    </row>
    <row r="1402" spans="2:20" x14ac:dyDescent="0.25">
      <c r="B1402" s="68"/>
      <c r="C1402" s="68"/>
      <c r="D1402" s="68"/>
      <c r="E1402" s="68"/>
      <c r="F1402" s="68"/>
      <c r="G1402" s="100"/>
      <c r="H1402" s="91"/>
      <c r="I1402" s="91"/>
      <c r="J1402" s="68"/>
      <c r="K1402" s="69"/>
      <c r="L1402" s="102"/>
      <c r="M1402" s="102"/>
      <c r="N1402" s="68"/>
      <c r="O1402" s="68"/>
      <c r="P1402" s="106"/>
      <c r="Q1402" s="107"/>
      <c r="R1402" s="107"/>
      <c r="S1402" s="107"/>
      <c r="T1402" s="107"/>
    </row>
    <row r="1403" spans="2:20" x14ac:dyDescent="0.25">
      <c r="B1403" s="68"/>
      <c r="C1403" s="68"/>
      <c r="D1403" s="68"/>
      <c r="E1403" s="68"/>
      <c r="F1403" s="68"/>
      <c r="G1403" s="100"/>
      <c r="H1403" s="91"/>
      <c r="I1403" s="91"/>
      <c r="J1403" s="68"/>
      <c r="K1403" s="69"/>
      <c r="L1403" s="102"/>
      <c r="M1403" s="102"/>
      <c r="N1403" s="68"/>
      <c r="O1403" s="68"/>
      <c r="P1403" s="106"/>
      <c r="Q1403" s="107"/>
      <c r="R1403" s="107"/>
      <c r="S1403" s="107"/>
      <c r="T1403" s="107"/>
    </row>
    <row r="1404" spans="2:20" x14ac:dyDescent="0.25">
      <c r="B1404" s="68"/>
      <c r="C1404" s="68"/>
      <c r="D1404" s="68"/>
      <c r="E1404" s="68"/>
      <c r="F1404" s="68"/>
      <c r="G1404" s="100"/>
      <c r="H1404" s="91"/>
      <c r="I1404" s="91"/>
      <c r="J1404" s="68"/>
      <c r="K1404" s="69"/>
      <c r="L1404" s="102"/>
      <c r="M1404" s="102"/>
      <c r="N1404" s="68"/>
      <c r="O1404" s="68"/>
      <c r="P1404" s="106"/>
      <c r="Q1404" s="107"/>
      <c r="R1404" s="107"/>
      <c r="S1404" s="107"/>
      <c r="T1404" s="107"/>
    </row>
    <row r="1405" spans="2:20" x14ac:dyDescent="0.25">
      <c r="B1405" s="68"/>
      <c r="C1405" s="68"/>
      <c r="D1405" s="68"/>
      <c r="E1405" s="68"/>
      <c r="F1405" s="68"/>
      <c r="G1405" s="100"/>
      <c r="H1405" s="91"/>
      <c r="I1405" s="91"/>
      <c r="J1405" s="68"/>
      <c r="K1405" s="69"/>
      <c r="L1405" s="102"/>
      <c r="M1405" s="102"/>
      <c r="N1405" s="68"/>
      <c r="O1405" s="68"/>
      <c r="P1405" s="106"/>
      <c r="Q1405" s="107"/>
      <c r="R1405" s="107"/>
      <c r="S1405" s="107"/>
      <c r="T1405" s="107"/>
    </row>
    <row r="1406" spans="2:20" x14ac:dyDescent="0.25">
      <c r="B1406" s="68"/>
      <c r="C1406" s="68"/>
      <c r="D1406" s="68"/>
      <c r="E1406" s="68"/>
      <c r="F1406" s="68"/>
      <c r="G1406" s="100"/>
      <c r="H1406" s="91"/>
      <c r="I1406" s="91"/>
      <c r="J1406" s="68"/>
      <c r="K1406" s="69"/>
      <c r="L1406" s="102"/>
      <c r="M1406" s="102"/>
      <c r="N1406" s="68"/>
      <c r="O1406" s="68"/>
      <c r="P1406" s="106"/>
      <c r="Q1406" s="107"/>
      <c r="R1406" s="107"/>
      <c r="S1406" s="107"/>
      <c r="T1406" s="107"/>
    </row>
    <row r="1407" spans="2:20" x14ac:dyDescent="0.25">
      <c r="B1407" s="68"/>
      <c r="C1407" s="68"/>
      <c r="D1407" s="68"/>
      <c r="E1407" s="68"/>
      <c r="F1407" s="68"/>
      <c r="G1407" s="100"/>
      <c r="H1407" s="91"/>
      <c r="I1407" s="91"/>
      <c r="J1407" s="68"/>
      <c r="K1407" s="69"/>
      <c r="L1407" s="102"/>
      <c r="M1407" s="102"/>
      <c r="N1407" s="68"/>
      <c r="O1407" s="68"/>
      <c r="P1407" s="106"/>
      <c r="Q1407" s="107"/>
      <c r="R1407" s="107"/>
      <c r="S1407" s="107"/>
      <c r="T1407" s="107"/>
    </row>
    <row r="1408" spans="2:20" x14ac:dyDescent="0.25">
      <c r="B1408" s="68"/>
      <c r="C1408" s="68"/>
      <c r="D1408" s="68"/>
      <c r="E1408" s="68"/>
      <c r="F1408" s="68"/>
      <c r="G1408" s="100"/>
      <c r="H1408" s="91"/>
      <c r="I1408" s="91"/>
      <c r="J1408" s="68"/>
      <c r="K1408" s="69"/>
      <c r="L1408" s="102"/>
      <c r="M1408" s="102"/>
      <c r="N1408" s="68"/>
      <c r="O1408" s="68"/>
      <c r="P1408" s="106"/>
      <c r="Q1408" s="107"/>
      <c r="R1408" s="107"/>
      <c r="S1408" s="107"/>
      <c r="T1408" s="107"/>
    </row>
    <row r="1409" spans="2:20" x14ac:dyDescent="0.25">
      <c r="B1409" s="68"/>
      <c r="C1409" s="68"/>
      <c r="D1409" s="68"/>
      <c r="E1409" s="68"/>
      <c r="F1409" s="68"/>
      <c r="G1409" s="100"/>
      <c r="H1409" s="91"/>
      <c r="I1409" s="91"/>
      <c r="J1409" s="68"/>
      <c r="K1409" s="69"/>
      <c r="L1409" s="102"/>
      <c r="M1409" s="102"/>
      <c r="N1409" s="68"/>
      <c r="O1409" s="68"/>
      <c r="P1409" s="106"/>
      <c r="Q1409" s="107"/>
      <c r="R1409" s="107"/>
      <c r="S1409" s="107"/>
      <c r="T1409" s="107"/>
    </row>
    <row r="1410" spans="2:20" x14ac:dyDescent="0.25">
      <c r="B1410" s="68"/>
      <c r="C1410" s="68"/>
      <c r="D1410" s="68"/>
      <c r="E1410" s="68"/>
      <c r="F1410" s="68"/>
      <c r="G1410" s="100"/>
      <c r="H1410" s="91"/>
      <c r="I1410" s="91"/>
      <c r="J1410" s="68"/>
      <c r="K1410" s="69"/>
      <c r="L1410" s="102"/>
      <c r="M1410" s="102"/>
      <c r="N1410" s="68"/>
      <c r="O1410" s="68"/>
      <c r="P1410" s="106"/>
      <c r="Q1410" s="107"/>
      <c r="R1410" s="107"/>
      <c r="S1410" s="107"/>
      <c r="T1410" s="107"/>
    </row>
    <row r="1411" spans="2:20" x14ac:dyDescent="0.25">
      <c r="B1411" s="68"/>
      <c r="C1411" s="68"/>
      <c r="D1411" s="68"/>
      <c r="E1411" s="68"/>
      <c r="F1411" s="68"/>
      <c r="G1411" s="100"/>
      <c r="H1411" s="91"/>
      <c r="I1411" s="91"/>
      <c r="J1411" s="68"/>
      <c r="K1411" s="69"/>
      <c r="L1411" s="102"/>
      <c r="M1411" s="102"/>
      <c r="N1411" s="68"/>
      <c r="O1411" s="68"/>
      <c r="P1411" s="106"/>
      <c r="Q1411" s="107"/>
      <c r="R1411" s="107"/>
      <c r="S1411" s="107"/>
      <c r="T1411" s="107"/>
    </row>
    <row r="1412" spans="2:20" x14ac:dyDescent="0.25">
      <c r="B1412" s="68"/>
      <c r="C1412" s="68"/>
      <c r="D1412" s="68"/>
      <c r="E1412" s="68"/>
      <c r="F1412" s="68"/>
      <c r="G1412" s="100"/>
      <c r="H1412" s="91"/>
      <c r="I1412" s="91"/>
      <c r="J1412" s="68"/>
      <c r="K1412" s="69"/>
      <c r="L1412" s="102"/>
      <c r="M1412" s="102"/>
      <c r="N1412" s="68"/>
      <c r="O1412" s="68"/>
      <c r="P1412" s="106"/>
      <c r="Q1412" s="107"/>
      <c r="R1412" s="107"/>
      <c r="S1412" s="107"/>
      <c r="T1412" s="107"/>
    </row>
    <row r="1413" spans="2:20" x14ac:dyDescent="0.25">
      <c r="B1413" s="68"/>
      <c r="C1413" s="68"/>
      <c r="D1413" s="68"/>
      <c r="E1413" s="68"/>
      <c r="F1413" s="68"/>
      <c r="G1413" s="100"/>
      <c r="H1413" s="91"/>
      <c r="I1413" s="91"/>
      <c r="J1413" s="68"/>
      <c r="K1413" s="69"/>
      <c r="L1413" s="102"/>
      <c r="M1413" s="102"/>
      <c r="N1413" s="68"/>
      <c r="O1413" s="68"/>
      <c r="P1413" s="106"/>
      <c r="Q1413" s="107"/>
      <c r="R1413" s="107"/>
      <c r="S1413" s="107"/>
      <c r="T1413" s="107"/>
    </row>
    <row r="1414" spans="2:20" x14ac:dyDescent="0.25">
      <c r="B1414" s="68"/>
      <c r="C1414" s="68"/>
      <c r="D1414" s="68"/>
      <c r="E1414" s="68"/>
      <c r="F1414" s="68"/>
      <c r="G1414" s="100"/>
      <c r="H1414" s="91"/>
      <c r="I1414" s="91"/>
      <c r="J1414" s="68"/>
      <c r="K1414" s="69"/>
      <c r="L1414" s="102"/>
      <c r="M1414" s="102"/>
      <c r="N1414" s="68"/>
      <c r="O1414" s="68"/>
      <c r="P1414" s="106"/>
      <c r="Q1414" s="107"/>
      <c r="R1414" s="107"/>
      <c r="S1414" s="107"/>
      <c r="T1414" s="107"/>
    </row>
    <row r="1415" spans="2:20" x14ac:dyDescent="0.25">
      <c r="B1415" s="68"/>
      <c r="C1415" s="68"/>
      <c r="D1415" s="68"/>
      <c r="E1415" s="68"/>
      <c r="F1415" s="68"/>
      <c r="G1415" s="100"/>
      <c r="H1415" s="91"/>
      <c r="I1415" s="91"/>
      <c r="J1415" s="68"/>
      <c r="K1415" s="69"/>
      <c r="L1415" s="102"/>
      <c r="M1415" s="102"/>
      <c r="N1415" s="68"/>
      <c r="O1415" s="68"/>
      <c r="P1415" s="106"/>
      <c r="Q1415" s="107"/>
      <c r="R1415" s="107"/>
      <c r="S1415" s="107"/>
      <c r="T1415" s="107"/>
    </row>
    <row r="1416" spans="2:20" x14ac:dyDescent="0.25">
      <c r="B1416" s="68"/>
      <c r="C1416" s="68"/>
      <c r="D1416" s="68"/>
      <c r="E1416" s="68"/>
      <c r="F1416" s="68"/>
      <c r="G1416" s="100"/>
      <c r="H1416" s="91"/>
      <c r="I1416" s="91"/>
      <c r="J1416" s="68"/>
      <c r="K1416" s="69"/>
      <c r="L1416" s="102"/>
      <c r="M1416" s="102"/>
      <c r="N1416" s="68"/>
      <c r="O1416" s="68"/>
      <c r="P1416" s="106"/>
      <c r="Q1416" s="107"/>
      <c r="R1416" s="107"/>
      <c r="S1416" s="107"/>
      <c r="T1416" s="107"/>
    </row>
    <row r="1417" spans="2:20" x14ac:dyDescent="0.25">
      <c r="B1417" s="68"/>
      <c r="C1417" s="68"/>
      <c r="D1417" s="68"/>
      <c r="E1417" s="68"/>
      <c r="F1417" s="68"/>
      <c r="G1417" s="100"/>
      <c r="H1417" s="91"/>
      <c r="I1417" s="91"/>
      <c r="J1417" s="68"/>
      <c r="K1417" s="69"/>
      <c r="L1417" s="102"/>
      <c r="M1417" s="102"/>
      <c r="N1417" s="68"/>
      <c r="O1417" s="68"/>
      <c r="P1417" s="106"/>
      <c r="Q1417" s="107"/>
      <c r="R1417" s="107"/>
      <c r="S1417" s="107"/>
      <c r="T1417" s="107"/>
    </row>
    <row r="1418" spans="2:20" x14ac:dyDescent="0.25">
      <c r="B1418" s="68"/>
      <c r="C1418" s="68"/>
      <c r="D1418" s="68"/>
      <c r="E1418" s="68"/>
      <c r="F1418" s="68"/>
      <c r="G1418" s="100"/>
      <c r="H1418" s="91"/>
      <c r="I1418" s="91"/>
      <c r="J1418" s="68"/>
      <c r="K1418" s="69"/>
      <c r="L1418" s="102"/>
      <c r="M1418" s="102"/>
      <c r="N1418" s="68"/>
      <c r="O1418" s="68"/>
      <c r="P1418" s="106"/>
      <c r="Q1418" s="107"/>
      <c r="R1418" s="107"/>
      <c r="S1418" s="107"/>
      <c r="T1418" s="107"/>
    </row>
    <row r="1419" spans="2:20" x14ac:dyDescent="0.25">
      <c r="B1419" s="68"/>
      <c r="C1419" s="68"/>
      <c r="D1419" s="68"/>
      <c r="E1419" s="68"/>
      <c r="F1419" s="68"/>
      <c r="G1419" s="100"/>
      <c r="H1419" s="91"/>
      <c r="I1419" s="91"/>
      <c r="J1419" s="68"/>
      <c r="K1419" s="69"/>
      <c r="L1419" s="102"/>
      <c r="M1419" s="102"/>
      <c r="N1419" s="68"/>
      <c r="O1419" s="68"/>
      <c r="P1419" s="106"/>
      <c r="Q1419" s="107"/>
      <c r="R1419" s="107"/>
      <c r="S1419" s="107"/>
      <c r="T1419" s="107"/>
    </row>
    <row r="1420" spans="2:20" x14ac:dyDescent="0.25">
      <c r="B1420" s="68"/>
      <c r="C1420" s="68"/>
      <c r="D1420" s="68"/>
      <c r="E1420" s="68"/>
      <c r="F1420" s="68"/>
      <c r="G1420" s="100"/>
      <c r="H1420" s="91"/>
      <c r="I1420" s="91"/>
      <c r="J1420" s="68"/>
      <c r="K1420" s="69"/>
      <c r="L1420" s="102"/>
      <c r="M1420" s="102"/>
      <c r="N1420" s="68"/>
      <c r="O1420" s="68"/>
      <c r="P1420" s="106"/>
      <c r="Q1420" s="107"/>
      <c r="R1420" s="107"/>
      <c r="S1420" s="107"/>
      <c r="T1420" s="107"/>
    </row>
    <row r="1421" spans="2:20" x14ac:dyDescent="0.25">
      <c r="B1421" s="68"/>
      <c r="C1421" s="68"/>
      <c r="D1421" s="68"/>
      <c r="E1421" s="68"/>
      <c r="F1421" s="68"/>
      <c r="G1421" s="100"/>
      <c r="H1421" s="91"/>
      <c r="I1421" s="91"/>
      <c r="J1421" s="68"/>
      <c r="K1421" s="69"/>
      <c r="L1421" s="102"/>
      <c r="M1421" s="102"/>
      <c r="N1421" s="68"/>
      <c r="O1421" s="68"/>
      <c r="P1421" s="106"/>
      <c r="Q1421" s="107"/>
      <c r="R1421" s="107"/>
      <c r="S1421" s="107"/>
      <c r="T1421" s="107"/>
    </row>
    <row r="1422" spans="2:20" x14ac:dyDescent="0.25">
      <c r="B1422" s="68"/>
      <c r="C1422" s="68"/>
      <c r="D1422" s="68"/>
      <c r="E1422" s="68"/>
      <c r="F1422" s="68"/>
      <c r="G1422" s="100"/>
      <c r="H1422" s="91"/>
      <c r="I1422" s="91"/>
      <c r="J1422" s="68"/>
      <c r="K1422" s="69"/>
      <c r="L1422" s="102"/>
      <c r="M1422" s="102"/>
      <c r="N1422" s="68"/>
      <c r="O1422" s="68"/>
      <c r="P1422" s="106"/>
      <c r="Q1422" s="107"/>
      <c r="R1422" s="107"/>
      <c r="S1422" s="107"/>
      <c r="T1422" s="107"/>
    </row>
    <row r="1423" spans="2:20" x14ac:dyDescent="0.25">
      <c r="B1423" s="68"/>
      <c r="C1423" s="68"/>
      <c r="D1423" s="68"/>
      <c r="E1423" s="68"/>
      <c r="F1423" s="68"/>
      <c r="G1423" s="100"/>
      <c r="H1423" s="91"/>
      <c r="I1423" s="91"/>
      <c r="J1423" s="68"/>
      <c r="K1423" s="69"/>
      <c r="L1423" s="102"/>
      <c r="M1423" s="102"/>
      <c r="N1423" s="68"/>
      <c r="O1423" s="68"/>
      <c r="P1423" s="106"/>
      <c r="Q1423" s="107"/>
      <c r="R1423" s="107"/>
      <c r="S1423" s="107"/>
      <c r="T1423" s="107"/>
    </row>
    <row r="1424" spans="2:20" x14ac:dyDescent="0.25">
      <c r="B1424" s="68"/>
      <c r="C1424" s="68"/>
      <c r="D1424" s="68"/>
      <c r="E1424" s="68"/>
      <c r="F1424" s="68"/>
      <c r="G1424" s="100"/>
      <c r="H1424" s="91"/>
      <c r="I1424" s="91"/>
      <c r="J1424" s="68"/>
      <c r="K1424" s="69"/>
      <c r="L1424" s="102"/>
      <c r="M1424" s="102"/>
      <c r="N1424" s="68"/>
      <c r="O1424" s="68"/>
      <c r="P1424" s="106"/>
      <c r="Q1424" s="107"/>
      <c r="R1424" s="107"/>
      <c r="S1424" s="107"/>
      <c r="T1424" s="107"/>
    </row>
    <row r="1425" spans="2:20" x14ac:dyDescent="0.25">
      <c r="B1425" s="68"/>
      <c r="C1425" s="68"/>
      <c r="D1425" s="68"/>
      <c r="E1425" s="68"/>
      <c r="F1425" s="68"/>
      <c r="G1425" s="100"/>
      <c r="H1425" s="91"/>
      <c r="I1425" s="91"/>
      <c r="J1425" s="68"/>
      <c r="K1425" s="69"/>
      <c r="L1425" s="102"/>
      <c r="M1425" s="102"/>
      <c r="N1425" s="68"/>
      <c r="O1425" s="68"/>
      <c r="P1425" s="106"/>
      <c r="Q1425" s="107"/>
      <c r="R1425" s="107"/>
      <c r="S1425" s="107"/>
      <c r="T1425" s="107"/>
    </row>
    <row r="1426" spans="2:20" x14ac:dyDescent="0.25">
      <c r="B1426" s="68"/>
      <c r="C1426" s="68"/>
      <c r="D1426" s="68"/>
      <c r="E1426" s="68"/>
      <c r="F1426" s="68"/>
      <c r="G1426" s="100"/>
      <c r="H1426" s="91"/>
      <c r="I1426" s="91"/>
      <c r="J1426" s="68"/>
      <c r="K1426" s="69"/>
      <c r="L1426" s="102"/>
      <c r="M1426" s="102"/>
      <c r="N1426" s="68"/>
      <c r="O1426" s="68"/>
      <c r="P1426" s="106"/>
      <c r="Q1426" s="107"/>
      <c r="R1426" s="107"/>
      <c r="S1426" s="107"/>
      <c r="T1426" s="107"/>
    </row>
    <row r="1427" spans="2:20" x14ac:dyDescent="0.25">
      <c r="B1427" s="68"/>
      <c r="C1427" s="68"/>
      <c r="D1427" s="68"/>
      <c r="E1427" s="68"/>
      <c r="F1427" s="68"/>
      <c r="G1427" s="100"/>
      <c r="H1427" s="91"/>
      <c r="I1427" s="91"/>
      <c r="J1427" s="68"/>
      <c r="K1427" s="69"/>
      <c r="L1427" s="102"/>
      <c r="M1427" s="102"/>
      <c r="N1427" s="68"/>
      <c r="O1427" s="68"/>
      <c r="P1427" s="106"/>
      <c r="Q1427" s="107"/>
      <c r="R1427" s="107"/>
      <c r="S1427" s="107"/>
      <c r="T1427" s="107"/>
    </row>
    <row r="1428" spans="2:20" x14ac:dyDescent="0.25">
      <c r="B1428" s="68"/>
      <c r="C1428" s="68"/>
      <c r="D1428" s="68"/>
      <c r="E1428" s="68"/>
      <c r="F1428" s="68"/>
      <c r="G1428" s="100"/>
      <c r="H1428" s="91"/>
      <c r="I1428" s="91"/>
      <c r="J1428" s="68"/>
      <c r="K1428" s="69"/>
      <c r="L1428" s="102"/>
      <c r="M1428" s="102"/>
      <c r="N1428" s="68"/>
      <c r="O1428" s="68"/>
      <c r="P1428" s="106"/>
      <c r="Q1428" s="107"/>
      <c r="R1428" s="107"/>
      <c r="S1428" s="107"/>
      <c r="T1428" s="107"/>
    </row>
    <row r="1429" spans="2:20" x14ac:dyDescent="0.25">
      <c r="B1429" s="68"/>
      <c r="C1429" s="68"/>
      <c r="D1429" s="68"/>
      <c r="E1429" s="68"/>
      <c r="F1429" s="68"/>
      <c r="G1429" s="100"/>
      <c r="H1429" s="91"/>
      <c r="I1429" s="91"/>
      <c r="J1429" s="68"/>
      <c r="K1429" s="69"/>
      <c r="L1429" s="102"/>
      <c r="M1429" s="102"/>
      <c r="N1429" s="68"/>
      <c r="O1429" s="68"/>
      <c r="P1429" s="106"/>
      <c r="Q1429" s="107"/>
      <c r="R1429" s="107"/>
      <c r="S1429" s="107"/>
      <c r="T1429" s="107"/>
    </row>
    <row r="1430" spans="2:20" x14ac:dyDescent="0.25">
      <c r="B1430" s="68"/>
      <c r="C1430" s="68"/>
      <c r="D1430" s="68"/>
      <c r="E1430" s="68"/>
      <c r="F1430" s="68"/>
      <c r="G1430" s="100"/>
      <c r="H1430" s="91"/>
      <c r="I1430" s="91"/>
      <c r="J1430" s="68"/>
      <c r="K1430" s="69"/>
      <c r="L1430" s="102"/>
      <c r="M1430" s="102"/>
      <c r="N1430" s="68"/>
      <c r="O1430" s="68"/>
      <c r="P1430" s="106"/>
      <c r="Q1430" s="107"/>
      <c r="R1430" s="107"/>
      <c r="S1430" s="107"/>
      <c r="T1430" s="107"/>
    </row>
    <row r="1431" spans="2:20" x14ac:dyDescent="0.25">
      <c r="B1431" s="68"/>
      <c r="C1431" s="68"/>
      <c r="D1431" s="68"/>
      <c r="E1431" s="68"/>
      <c r="F1431" s="68"/>
      <c r="G1431" s="100"/>
      <c r="H1431" s="91"/>
      <c r="I1431" s="91"/>
      <c r="J1431" s="68"/>
      <c r="K1431" s="69"/>
      <c r="L1431" s="102"/>
      <c r="M1431" s="102"/>
      <c r="N1431" s="68"/>
      <c r="O1431" s="68"/>
      <c r="P1431" s="106"/>
      <c r="Q1431" s="107"/>
      <c r="R1431" s="107"/>
      <c r="S1431" s="107"/>
      <c r="T1431" s="107"/>
    </row>
    <row r="1432" spans="2:20" x14ac:dyDescent="0.25">
      <c r="B1432" s="68"/>
      <c r="C1432" s="68"/>
      <c r="D1432" s="68"/>
      <c r="E1432" s="68"/>
      <c r="F1432" s="68"/>
      <c r="G1432" s="100"/>
      <c r="H1432" s="91"/>
      <c r="I1432" s="91"/>
      <c r="J1432" s="68"/>
      <c r="K1432" s="69"/>
      <c r="L1432" s="102"/>
      <c r="M1432" s="102"/>
      <c r="N1432" s="68"/>
      <c r="O1432" s="68"/>
      <c r="P1432" s="106"/>
      <c r="Q1432" s="107"/>
      <c r="R1432" s="107"/>
      <c r="S1432" s="107"/>
      <c r="T1432" s="107"/>
    </row>
    <row r="1433" spans="2:20" x14ac:dyDescent="0.25">
      <c r="B1433" s="68"/>
      <c r="C1433" s="68"/>
      <c r="D1433" s="68"/>
      <c r="E1433" s="68"/>
      <c r="F1433" s="68"/>
      <c r="G1433" s="100"/>
      <c r="H1433" s="91"/>
      <c r="I1433" s="91"/>
      <c r="J1433" s="68"/>
      <c r="K1433" s="69"/>
      <c r="L1433" s="102"/>
      <c r="M1433" s="102"/>
      <c r="N1433" s="68"/>
      <c r="O1433" s="68"/>
      <c r="P1433" s="106"/>
      <c r="Q1433" s="107"/>
      <c r="R1433" s="107"/>
      <c r="S1433" s="107"/>
      <c r="T1433" s="107"/>
    </row>
    <row r="1434" spans="2:20" x14ac:dyDescent="0.25">
      <c r="B1434" s="68"/>
      <c r="C1434" s="68"/>
      <c r="D1434" s="68"/>
      <c r="E1434" s="68"/>
      <c r="F1434" s="68"/>
      <c r="G1434" s="100"/>
      <c r="H1434" s="91"/>
      <c r="I1434" s="91"/>
      <c r="J1434" s="68"/>
      <c r="K1434" s="69"/>
      <c r="L1434" s="102"/>
      <c r="M1434" s="102"/>
      <c r="N1434" s="68"/>
      <c r="O1434" s="68"/>
      <c r="P1434" s="106"/>
      <c r="Q1434" s="107"/>
      <c r="R1434" s="107"/>
      <c r="S1434" s="107"/>
      <c r="T1434" s="107"/>
    </row>
    <row r="1435" spans="2:20" x14ac:dyDescent="0.25">
      <c r="B1435" s="68"/>
      <c r="C1435" s="68"/>
      <c r="D1435" s="68"/>
      <c r="E1435" s="68"/>
      <c r="F1435" s="68"/>
      <c r="G1435" s="100"/>
      <c r="H1435" s="91"/>
      <c r="I1435" s="91"/>
      <c r="J1435" s="68"/>
      <c r="K1435" s="69"/>
      <c r="L1435" s="102"/>
      <c r="M1435" s="102"/>
      <c r="N1435" s="68"/>
      <c r="O1435" s="68"/>
      <c r="P1435" s="106"/>
      <c r="Q1435" s="107"/>
      <c r="R1435" s="107"/>
      <c r="S1435" s="107"/>
      <c r="T1435" s="107"/>
    </row>
    <row r="1436" spans="2:20" x14ac:dyDescent="0.25">
      <c r="B1436" s="68"/>
      <c r="C1436" s="68"/>
      <c r="D1436" s="68"/>
      <c r="E1436" s="68"/>
      <c r="F1436" s="68"/>
      <c r="G1436" s="100"/>
      <c r="H1436" s="91"/>
      <c r="I1436" s="91"/>
      <c r="J1436" s="68"/>
      <c r="K1436" s="69"/>
      <c r="L1436" s="102"/>
      <c r="M1436" s="102"/>
      <c r="N1436" s="68"/>
      <c r="O1436" s="68"/>
      <c r="P1436" s="106"/>
      <c r="Q1436" s="107"/>
      <c r="R1436" s="107"/>
      <c r="S1436" s="107"/>
      <c r="T1436" s="107"/>
    </row>
    <row r="1437" spans="2:20" x14ac:dyDescent="0.25">
      <c r="B1437" s="68"/>
      <c r="C1437" s="68"/>
      <c r="D1437" s="68"/>
      <c r="E1437" s="68"/>
      <c r="F1437" s="68"/>
      <c r="G1437" s="100"/>
      <c r="H1437" s="91"/>
      <c r="I1437" s="91"/>
      <c r="J1437" s="68"/>
      <c r="K1437" s="69"/>
      <c r="L1437" s="102"/>
      <c r="M1437" s="102"/>
      <c r="N1437" s="68"/>
      <c r="O1437" s="68"/>
      <c r="P1437" s="106"/>
      <c r="Q1437" s="107"/>
      <c r="R1437" s="107"/>
      <c r="S1437" s="107"/>
      <c r="T1437" s="107"/>
    </row>
    <row r="1438" spans="2:20" x14ac:dyDescent="0.25">
      <c r="B1438" s="68"/>
      <c r="C1438" s="68"/>
      <c r="D1438" s="68"/>
      <c r="E1438" s="68"/>
      <c r="F1438" s="68"/>
      <c r="G1438" s="100"/>
      <c r="H1438" s="91"/>
      <c r="I1438" s="91"/>
      <c r="J1438" s="68"/>
      <c r="K1438" s="69"/>
      <c r="L1438" s="102"/>
      <c r="M1438" s="102"/>
      <c r="N1438" s="68"/>
      <c r="O1438" s="68"/>
      <c r="P1438" s="106"/>
      <c r="Q1438" s="107"/>
      <c r="R1438" s="107"/>
      <c r="S1438" s="107"/>
      <c r="T1438" s="107"/>
    </row>
    <row r="1439" spans="2:20" x14ac:dyDescent="0.25">
      <c r="B1439" s="68"/>
      <c r="C1439" s="68"/>
      <c r="D1439" s="68"/>
      <c r="E1439" s="68"/>
      <c r="F1439" s="68"/>
      <c r="G1439" s="100"/>
      <c r="H1439" s="91"/>
      <c r="I1439" s="91"/>
      <c r="J1439" s="68"/>
      <c r="K1439" s="69"/>
      <c r="L1439" s="102"/>
      <c r="M1439" s="102"/>
      <c r="N1439" s="68"/>
      <c r="O1439" s="68"/>
      <c r="P1439" s="106"/>
      <c r="Q1439" s="107"/>
      <c r="R1439" s="107"/>
      <c r="S1439" s="107"/>
      <c r="T1439" s="107"/>
    </row>
    <row r="1440" spans="2:20" x14ac:dyDescent="0.25">
      <c r="B1440" s="68"/>
      <c r="C1440" s="68"/>
      <c r="D1440" s="68"/>
      <c r="E1440" s="68"/>
      <c r="F1440" s="68"/>
      <c r="G1440" s="100"/>
      <c r="H1440" s="91"/>
      <c r="I1440" s="91"/>
      <c r="J1440" s="68"/>
      <c r="K1440" s="69"/>
      <c r="L1440" s="102"/>
      <c r="M1440" s="102"/>
      <c r="N1440" s="68"/>
      <c r="O1440" s="68"/>
      <c r="P1440" s="106"/>
      <c r="Q1440" s="107"/>
      <c r="R1440" s="107"/>
      <c r="S1440" s="107"/>
      <c r="T1440" s="107"/>
    </row>
    <row r="1441" spans="2:20" x14ac:dyDescent="0.25">
      <c r="B1441" s="68"/>
      <c r="C1441" s="68"/>
      <c r="D1441" s="68"/>
      <c r="E1441" s="68"/>
      <c r="F1441" s="68"/>
      <c r="G1441" s="100"/>
      <c r="H1441" s="91"/>
      <c r="I1441" s="91"/>
      <c r="J1441" s="68"/>
      <c r="K1441" s="69"/>
      <c r="L1441" s="102"/>
      <c r="M1441" s="102"/>
      <c r="N1441" s="68"/>
      <c r="O1441" s="68"/>
      <c r="P1441" s="106"/>
      <c r="Q1441" s="107"/>
      <c r="R1441" s="107"/>
      <c r="S1441" s="107"/>
      <c r="T1441" s="107"/>
    </row>
    <row r="1442" spans="2:20" x14ac:dyDescent="0.25">
      <c r="B1442" s="68"/>
      <c r="C1442" s="68"/>
      <c r="D1442" s="68"/>
      <c r="E1442" s="68"/>
      <c r="F1442" s="68"/>
      <c r="G1442" s="100"/>
      <c r="H1442" s="91"/>
      <c r="I1442" s="91"/>
      <c r="J1442" s="68"/>
      <c r="K1442" s="69"/>
      <c r="L1442" s="102"/>
      <c r="M1442" s="102"/>
      <c r="N1442" s="68"/>
      <c r="O1442" s="68"/>
      <c r="P1442" s="106"/>
      <c r="Q1442" s="107"/>
      <c r="R1442" s="107"/>
      <c r="S1442" s="107"/>
      <c r="T1442" s="107"/>
    </row>
    <row r="1443" spans="2:20" x14ac:dyDescent="0.25">
      <c r="B1443" s="68"/>
      <c r="C1443" s="68"/>
      <c r="D1443" s="68"/>
      <c r="E1443" s="68"/>
      <c r="F1443" s="68"/>
      <c r="G1443" s="100"/>
      <c r="H1443" s="91"/>
      <c r="I1443" s="91"/>
      <c r="J1443" s="68"/>
      <c r="K1443" s="69"/>
      <c r="L1443" s="102"/>
      <c r="M1443" s="102"/>
      <c r="N1443" s="68"/>
      <c r="O1443" s="68"/>
      <c r="P1443" s="106"/>
      <c r="Q1443" s="107"/>
      <c r="R1443" s="107"/>
      <c r="S1443" s="107"/>
      <c r="T1443" s="107"/>
    </row>
    <row r="1444" spans="2:20" x14ac:dyDescent="0.25">
      <c r="B1444" s="68"/>
      <c r="C1444" s="68"/>
      <c r="D1444" s="68"/>
      <c r="E1444" s="68"/>
      <c r="F1444" s="68"/>
      <c r="G1444" s="100"/>
      <c r="H1444" s="91"/>
      <c r="I1444" s="91"/>
      <c r="J1444" s="68"/>
      <c r="K1444" s="69"/>
      <c r="L1444" s="102"/>
      <c r="M1444" s="102"/>
      <c r="N1444" s="68"/>
      <c r="O1444" s="68"/>
      <c r="P1444" s="106"/>
      <c r="Q1444" s="107"/>
      <c r="R1444" s="107"/>
      <c r="S1444" s="107"/>
      <c r="T1444" s="107"/>
    </row>
    <row r="1445" spans="2:20" x14ac:dyDescent="0.25">
      <c r="B1445" s="68"/>
      <c r="C1445" s="68"/>
      <c r="D1445" s="68"/>
      <c r="E1445" s="68"/>
      <c r="F1445" s="68"/>
      <c r="G1445" s="100"/>
      <c r="H1445" s="91"/>
      <c r="I1445" s="91"/>
      <c r="J1445" s="68"/>
      <c r="K1445" s="69"/>
      <c r="L1445" s="102"/>
      <c r="M1445" s="102"/>
      <c r="N1445" s="68"/>
      <c r="O1445" s="68"/>
      <c r="P1445" s="106"/>
      <c r="Q1445" s="107"/>
      <c r="R1445" s="107"/>
      <c r="S1445" s="107"/>
      <c r="T1445" s="107"/>
    </row>
    <row r="1446" spans="2:20" x14ac:dyDescent="0.25">
      <c r="B1446" s="68"/>
      <c r="C1446" s="68"/>
      <c r="D1446" s="68"/>
      <c r="E1446" s="68"/>
      <c r="F1446" s="68"/>
      <c r="G1446" s="100"/>
      <c r="H1446" s="91"/>
      <c r="I1446" s="91"/>
      <c r="J1446" s="68"/>
      <c r="K1446" s="69"/>
      <c r="L1446" s="102"/>
      <c r="M1446" s="102"/>
      <c r="N1446" s="68"/>
      <c r="O1446" s="68"/>
      <c r="P1446" s="106"/>
      <c r="Q1446" s="107"/>
      <c r="R1446" s="107"/>
      <c r="S1446" s="107"/>
      <c r="T1446" s="107"/>
    </row>
    <row r="1447" spans="2:20" x14ac:dyDescent="0.25">
      <c r="B1447" s="68"/>
      <c r="C1447" s="68"/>
      <c r="D1447" s="68"/>
      <c r="E1447" s="68"/>
      <c r="F1447" s="68"/>
      <c r="G1447" s="100"/>
      <c r="H1447" s="91"/>
      <c r="I1447" s="91"/>
      <c r="J1447" s="68"/>
      <c r="K1447" s="69"/>
      <c r="L1447" s="102"/>
      <c r="M1447" s="102"/>
      <c r="N1447" s="68"/>
      <c r="O1447" s="68"/>
      <c r="P1447" s="106"/>
      <c r="Q1447" s="107"/>
      <c r="R1447" s="107"/>
      <c r="S1447" s="107"/>
      <c r="T1447" s="107"/>
    </row>
    <row r="1448" spans="2:20" x14ac:dyDescent="0.25">
      <c r="B1448" s="68"/>
      <c r="C1448" s="68"/>
      <c r="D1448" s="68"/>
      <c r="E1448" s="68"/>
      <c r="F1448" s="68"/>
      <c r="G1448" s="100"/>
      <c r="H1448" s="91"/>
      <c r="I1448" s="91"/>
      <c r="J1448" s="68"/>
      <c r="K1448" s="69"/>
      <c r="L1448" s="102"/>
      <c r="M1448" s="102"/>
      <c r="N1448" s="68"/>
      <c r="O1448" s="68"/>
      <c r="P1448" s="106"/>
      <c r="Q1448" s="107"/>
      <c r="R1448" s="107"/>
      <c r="S1448" s="107"/>
      <c r="T1448" s="107"/>
    </row>
    <row r="1449" spans="2:20" x14ac:dyDescent="0.25">
      <c r="B1449" s="68"/>
      <c r="C1449" s="68"/>
      <c r="D1449" s="68"/>
      <c r="E1449" s="68"/>
      <c r="F1449" s="68"/>
      <c r="G1449" s="100"/>
      <c r="H1449" s="91"/>
      <c r="I1449" s="91"/>
      <c r="J1449" s="68"/>
      <c r="K1449" s="69"/>
      <c r="L1449" s="102"/>
      <c r="M1449" s="102"/>
      <c r="N1449" s="68"/>
      <c r="O1449" s="68"/>
      <c r="P1449" s="106"/>
      <c r="Q1449" s="107"/>
      <c r="R1449" s="107"/>
      <c r="S1449" s="107"/>
      <c r="T1449" s="107"/>
    </row>
    <row r="1450" spans="2:20" x14ac:dyDescent="0.25">
      <c r="B1450" s="68"/>
      <c r="C1450" s="68"/>
      <c r="D1450" s="68"/>
      <c r="E1450" s="68"/>
      <c r="F1450" s="68"/>
      <c r="G1450" s="100"/>
      <c r="H1450" s="91"/>
      <c r="I1450" s="91"/>
      <c r="J1450" s="68"/>
      <c r="K1450" s="69"/>
      <c r="L1450" s="102"/>
      <c r="M1450" s="102"/>
      <c r="N1450" s="68"/>
      <c r="O1450" s="68"/>
      <c r="P1450" s="106"/>
      <c r="Q1450" s="107"/>
      <c r="R1450" s="107"/>
      <c r="S1450" s="107"/>
      <c r="T1450" s="107"/>
    </row>
    <row r="1451" spans="2:20" x14ac:dyDescent="0.25">
      <c r="B1451" s="68"/>
      <c r="C1451" s="68"/>
      <c r="D1451" s="68"/>
      <c r="E1451" s="68"/>
      <c r="F1451" s="68"/>
      <c r="G1451" s="100"/>
      <c r="H1451" s="91"/>
      <c r="I1451" s="91"/>
      <c r="J1451" s="68"/>
      <c r="K1451" s="69"/>
      <c r="L1451" s="102"/>
      <c r="M1451" s="102"/>
      <c r="N1451" s="68"/>
      <c r="O1451" s="68"/>
      <c r="P1451" s="106"/>
      <c r="Q1451" s="107"/>
      <c r="R1451" s="107"/>
      <c r="S1451" s="107"/>
      <c r="T1451" s="107"/>
    </row>
    <row r="1452" spans="2:20" x14ac:dyDescent="0.25">
      <c r="B1452" s="68"/>
      <c r="C1452" s="68"/>
      <c r="D1452" s="68"/>
      <c r="E1452" s="68"/>
      <c r="F1452" s="68"/>
      <c r="G1452" s="100"/>
      <c r="H1452" s="91"/>
      <c r="I1452" s="91"/>
      <c r="J1452" s="68"/>
      <c r="K1452" s="69"/>
      <c r="L1452" s="102"/>
      <c r="M1452" s="102"/>
      <c r="N1452" s="68"/>
      <c r="O1452" s="68"/>
      <c r="P1452" s="106"/>
      <c r="Q1452" s="107"/>
      <c r="R1452" s="107"/>
      <c r="S1452" s="107"/>
      <c r="T1452" s="107"/>
    </row>
    <row r="1453" spans="2:20" x14ac:dyDescent="0.25">
      <c r="B1453" s="68"/>
      <c r="C1453" s="68"/>
      <c r="D1453" s="68"/>
      <c r="E1453" s="68"/>
      <c r="F1453" s="68"/>
      <c r="G1453" s="100"/>
      <c r="H1453" s="91"/>
      <c r="I1453" s="91"/>
      <c r="J1453" s="68"/>
      <c r="K1453" s="69"/>
      <c r="L1453" s="102"/>
      <c r="M1453" s="102"/>
      <c r="N1453" s="68"/>
      <c r="O1453" s="68"/>
      <c r="P1453" s="106"/>
      <c r="Q1453" s="107"/>
      <c r="R1453" s="107"/>
      <c r="S1453" s="107"/>
      <c r="T1453" s="107"/>
    </row>
    <row r="1454" spans="2:20" x14ac:dyDescent="0.25">
      <c r="B1454" s="68"/>
      <c r="C1454" s="68"/>
      <c r="D1454" s="68"/>
      <c r="E1454" s="68"/>
      <c r="F1454" s="68"/>
      <c r="G1454" s="100"/>
      <c r="H1454" s="91"/>
      <c r="I1454" s="91"/>
      <c r="J1454" s="68"/>
      <c r="K1454" s="69"/>
      <c r="L1454" s="102"/>
      <c r="M1454" s="102"/>
      <c r="N1454" s="68"/>
      <c r="O1454" s="68"/>
      <c r="P1454" s="106"/>
      <c r="Q1454" s="107"/>
      <c r="R1454" s="107"/>
      <c r="S1454" s="107"/>
      <c r="T1454" s="107"/>
    </row>
    <row r="1455" spans="2:20" x14ac:dyDescent="0.25">
      <c r="B1455" s="68"/>
      <c r="C1455" s="68"/>
      <c r="D1455" s="68"/>
      <c r="E1455" s="68"/>
      <c r="F1455" s="68"/>
      <c r="G1455" s="100"/>
      <c r="H1455" s="91"/>
      <c r="I1455" s="91"/>
      <c r="J1455" s="68"/>
      <c r="K1455" s="69"/>
      <c r="L1455" s="102"/>
      <c r="M1455" s="102"/>
      <c r="N1455" s="68"/>
      <c r="O1455" s="68"/>
      <c r="P1455" s="106"/>
      <c r="Q1455" s="107"/>
      <c r="R1455" s="107"/>
      <c r="S1455" s="107"/>
      <c r="T1455" s="107"/>
    </row>
    <row r="1456" spans="2:20" x14ac:dyDescent="0.25">
      <c r="B1456" s="68"/>
      <c r="C1456" s="68"/>
      <c r="D1456" s="68"/>
      <c r="E1456" s="68"/>
      <c r="F1456" s="68"/>
      <c r="G1456" s="100"/>
      <c r="H1456" s="91"/>
      <c r="I1456" s="91"/>
      <c r="J1456" s="68"/>
      <c r="K1456" s="69"/>
      <c r="L1456" s="102"/>
      <c r="M1456" s="102"/>
      <c r="N1456" s="68"/>
      <c r="O1456" s="68"/>
      <c r="P1456" s="106"/>
      <c r="Q1456" s="107"/>
      <c r="R1456" s="107"/>
      <c r="S1456" s="107"/>
      <c r="T1456" s="107"/>
    </row>
    <row r="1457" spans="2:20" x14ac:dyDescent="0.25">
      <c r="B1457" s="68"/>
      <c r="C1457" s="68"/>
      <c r="D1457" s="68"/>
      <c r="E1457" s="68"/>
      <c r="F1457" s="68"/>
      <c r="G1457" s="100"/>
      <c r="H1457" s="91"/>
      <c r="I1457" s="91"/>
      <c r="J1457" s="68"/>
      <c r="K1457" s="69"/>
      <c r="L1457" s="102"/>
      <c r="M1457" s="102"/>
      <c r="N1457" s="68"/>
      <c r="O1457" s="68"/>
      <c r="P1457" s="106"/>
      <c r="Q1457" s="107"/>
      <c r="R1457" s="107"/>
      <c r="S1457" s="107"/>
      <c r="T1457" s="107"/>
    </row>
    <row r="1458" spans="2:20" x14ac:dyDescent="0.25">
      <c r="B1458" s="68"/>
      <c r="C1458" s="68"/>
      <c r="D1458" s="68"/>
      <c r="E1458" s="68"/>
      <c r="F1458" s="68"/>
      <c r="G1458" s="100"/>
      <c r="H1458" s="91"/>
      <c r="I1458" s="91"/>
      <c r="J1458" s="68"/>
      <c r="K1458" s="69"/>
      <c r="L1458" s="102"/>
      <c r="M1458" s="102"/>
      <c r="N1458" s="68"/>
      <c r="O1458" s="68"/>
      <c r="P1458" s="106"/>
      <c r="Q1458" s="107"/>
      <c r="R1458" s="107"/>
      <c r="S1458" s="107"/>
      <c r="T1458" s="107"/>
    </row>
    <row r="1459" spans="2:20" x14ac:dyDescent="0.25">
      <c r="B1459" s="68"/>
      <c r="C1459" s="68"/>
      <c r="D1459" s="68"/>
      <c r="E1459" s="68"/>
      <c r="F1459" s="68"/>
      <c r="G1459" s="100"/>
      <c r="H1459" s="91"/>
      <c r="I1459" s="91"/>
      <c r="J1459" s="68"/>
      <c r="K1459" s="69"/>
      <c r="L1459" s="102"/>
      <c r="M1459" s="102"/>
      <c r="N1459" s="68"/>
      <c r="O1459" s="68"/>
      <c r="P1459" s="106"/>
      <c r="Q1459" s="107"/>
      <c r="R1459" s="107"/>
      <c r="S1459" s="107"/>
      <c r="T1459" s="107"/>
    </row>
    <row r="1460" spans="2:20" x14ac:dyDescent="0.25">
      <c r="B1460" s="68"/>
      <c r="C1460" s="68"/>
      <c r="D1460" s="68"/>
      <c r="E1460" s="68"/>
      <c r="F1460" s="68"/>
      <c r="G1460" s="100"/>
      <c r="H1460" s="91"/>
      <c r="I1460" s="91"/>
      <c r="J1460" s="68"/>
      <c r="K1460" s="69"/>
      <c r="L1460" s="102"/>
      <c r="M1460" s="102"/>
      <c r="N1460" s="68"/>
      <c r="O1460" s="68"/>
      <c r="P1460" s="106"/>
      <c r="Q1460" s="107"/>
      <c r="R1460" s="107"/>
      <c r="S1460" s="107"/>
      <c r="T1460" s="107"/>
    </row>
    <row r="1461" spans="2:20" x14ac:dyDescent="0.25">
      <c r="B1461" s="68"/>
      <c r="C1461" s="68"/>
      <c r="D1461" s="68"/>
      <c r="E1461" s="68"/>
      <c r="F1461" s="68"/>
      <c r="G1461" s="100"/>
      <c r="H1461" s="91"/>
      <c r="I1461" s="91"/>
      <c r="J1461" s="68"/>
      <c r="K1461" s="69"/>
      <c r="L1461" s="102"/>
      <c r="M1461" s="102"/>
      <c r="N1461" s="68"/>
      <c r="O1461" s="68"/>
      <c r="P1461" s="106"/>
      <c r="Q1461" s="107"/>
      <c r="R1461" s="107"/>
      <c r="S1461" s="107"/>
      <c r="T1461" s="107"/>
    </row>
    <row r="1462" spans="2:20" x14ac:dyDescent="0.25">
      <c r="B1462" s="68"/>
      <c r="C1462" s="68"/>
      <c r="D1462" s="68"/>
      <c r="E1462" s="68"/>
      <c r="F1462" s="68"/>
      <c r="G1462" s="100"/>
      <c r="H1462" s="91"/>
      <c r="I1462" s="91"/>
      <c r="J1462" s="68"/>
      <c r="K1462" s="69"/>
      <c r="L1462" s="102"/>
      <c r="M1462" s="102"/>
      <c r="N1462" s="68"/>
      <c r="O1462" s="68"/>
      <c r="P1462" s="106"/>
      <c r="Q1462" s="107"/>
      <c r="R1462" s="107"/>
      <c r="S1462" s="107"/>
      <c r="T1462" s="107"/>
    </row>
    <row r="1463" spans="2:20" x14ac:dyDescent="0.25">
      <c r="B1463" s="68"/>
      <c r="C1463" s="68"/>
      <c r="D1463" s="68"/>
      <c r="E1463" s="68"/>
      <c r="F1463" s="68"/>
      <c r="G1463" s="100"/>
      <c r="H1463" s="91"/>
      <c r="I1463" s="91"/>
      <c r="J1463" s="68"/>
      <c r="K1463" s="69"/>
      <c r="L1463" s="102"/>
      <c r="M1463" s="102"/>
      <c r="N1463" s="68"/>
      <c r="O1463" s="68"/>
      <c r="P1463" s="106"/>
      <c r="Q1463" s="107"/>
      <c r="R1463" s="107"/>
      <c r="S1463" s="107"/>
      <c r="T1463" s="107"/>
    </row>
    <row r="1464" spans="2:20" x14ac:dyDescent="0.25">
      <c r="B1464" s="68"/>
      <c r="C1464" s="68"/>
      <c r="D1464" s="68"/>
      <c r="E1464" s="68"/>
      <c r="F1464" s="68"/>
      <c r="G1464" s="100"/>
      <c r="H1464" s="91"/>
      <c r="I1464" s="91"/>
      <c r="J1464" s="68"/>
      <c r="K1464" s="69"/>
      <c r="L1464" s="102"/>
      <c r="M1464" s="102"/>
      <c r="N1464" s="68"/>
      <c r="O1464" s="68"/>
      <c r="P1464" s="106"/>
      <c r="Q1464" s="107"/>
      <c r="R1464" s="107"/>
      <c r="S1464" s="107"/>
      <c r="T1464" s="107"/>
    </row>
    <row r="1465" spans="2:20" x14ac:dyDescent="0.25">
      <c r="B1465" s="68"/>
      <c r="C1465" s="68"/>
      <c r="D1465" s="68"/>
      <c r="E1465" s="68"/>
      <c r="F1465" s="68"/>
      <c r="G1465" s="100"/>
      <c r="H1465" s="91"/>
      <c r="I1465" s="91"/>
      <c r="J1465" s="68"/>
      <c r="K1465" s="69"/>
      <c r="L1465" s="102"/>
      <c r="M1465" s="102"/>
      <c r="N1465" s="68"/>
      <c r="O1465" s="68"/>
      <c r="P1465" s="106"/>
      <c r="Q1465" s="107"/>
      <c r="R1465" s="107"/>
      <c r="S1465" s="107"/>
      <c r="T1465" s="107"/>
    </row>
    <row r="1466" spans="2:20" x14ac:dyDescent="0.25">
      <c r="B1466" s="68"/>
      <c r="C1466" s="68"/>
      <c r="D1466" s="68"/>
      <c r="E1466" s="68"/>
      <c r="F1466" s="68"/>
      <c r="G1466" s="100"/>
      <c r="H1466" s="91"/>
      <c r="I1466" s="91"/>
      <c r="J1466" s="68"/>
      <c r="K1466" s="69"/>
      <c r="L1466" s="102"/>
      <c r="M1466" s="102"/>
      <c r="N1466" s="68"/>
      <c r="O1466" s="68"/>
      <c r="P1466" s="106"/>
      <c r="Q1466" s="107"/>
      <c r="R1466" s="107"/>
      <c r="S1466" s="107"/>
      <c r="T1466" s="107"/>
    </row>
    <row r="1467" spans="2:20" x14ac:dyDescent="0.25">
      <c r="B1467" s="68"/>
      <c r="C1467" s="68"/>
      <c r="D1467" s="68"/>
      <c r="E1467" s="68"/>
      <c r="F1467" s="68"/>
      <c r="G1467" s="100"/>
      <c r="H1467" s="91"/>
      <c r="I1467" s="91"/>
      <c r="J1467" s="68"/>
      <c r="K1467" s="69"/>
      <c r="L1467" s="102"/>
      <c r="M1467" s="102"/>
      <c r="N1467" s="68"/>
      <c r="O1467" s="68"/>
      <c r="P1467" s="106"/>
      <c r="Q1467" s="107"/>
      <c r="R1467" s="107"/>
      <c r="S1467" s="107"/>
      <c r="T1467" s="107"/>
    </row>
    <row r="1468" spans="2:20" x14ac:dyDescent="0.25">
      <c r="B1468" s="68"/>
      <c r="C1468" s="68"/>
      <c r="D1468" s="68"/>
      <c r="E1468" s="68"/>
      <c r="F1468" s="68"/>
      <c r="G1468" s="100"/>
      <c r="H1468" s="91"/>
      <c r="I1468" s="91"/>
      <c r="J1468" s="68"/>
      <c r="K1468" s="69"/>
      <c r="L1468" s="102"/>
      <c r="M1468" s="102"/>
      <c r="N1468" s="68"/>
      <c r="O1468" s="68"/>
      <c r="P1468" s="106"/>
      <c r="Q1468" s="107"/>
      <c r="R1468" s="107"/>
      <c r="S1468" s="107"/>
      <c r="T1468" s="107"/>
    </row>
    <row r="1469" spans="2:20" x14ac:dyDescent="0.25">
      <c r="B1469" s="68"/>
      <c r="C1469" s="68"/>
      <c r="D1469" s="68"/>
      <c r="E1469" s="68"/>
      <c r="F1469" s="68"/>
      <c r="G1469" s="100"/>
      <c r="H1469" s="91"/>
      <c r="I1469" s="91"/>
      <c r="J1469" s="68"/>
      <c r="K1469" s="69"/>
      <c r="L1469" s="102"/>
      <c r="M1469" s="102"/>
      <c r="N1469" s="68"/>
      <c r="O1469" s="68"/>
      <c r="P1469" s="106"/>
      <c r="Q1469" s="107"/>
      <c r="R1469" s="107"/>
      <c r="S1469" s="107"/>
      <c r="T1469" s="107"/>
    </row>
    <row r="1470" spans="2:20" x14ac:dyDescent="0.25">
      <c r="B1470" s="68"/>
      <c r="C1470" s="68"/>
      <c r="D1470" s="68"/>
      <c r="E1470" s="68"/>
      <c r="F1470" s="68"/>
      <c r="G1470" s="100"/>
      <c r="H1470" s="91"/>
      <c r="I1470" s="91"/>
      <c r="J1470" s="68"/>
      <c r="K1470" s="69"/>
      <c r="L1470" s="102"/>
      <c r="M1470" s="102"/>
      <c r="N1470" s="68"/>
      <c r="O1470" s="68"/>
      <c r="P1470" s="106"/>
      <c r="Q1470" s="107"/>
      <c r="R1470" s="107"/>
      <c r="S1470" s="107"/>
      <c r="T1470" s="107"/>
    </row>
    <row r="1471" spans="2:20" x14ac:dyDescent="0.25">
      <c r="B1471" s="68"/>
      <c r="C1471" s="68"/>
      <c r="D1471" s="68"/>
      <c r="E1471" s="68"/>
      <c r="F1471" s="68"/>
      <c r="G1471" s="100"/>
      <c r="H1471" s="91"/>
      <c r="I1471" s="91"/>
      <c r="J1471" s="68"/>
      <c r="K1471" s="69"/>
      <c r="L1471" s="102"/>
      <c r="M1471" s="102"/>
      <c r="N1471" s="68"/>
      <c r="O1471" s="68"/>
      <c r="P1471" s="106"/>
      <c r="Q1471" s="107"/>
      <c r="R1471" s="107"/>
      <c r="S1471" s="107"/>
      <c r="T1471" s="107"/>
    </row>
    <row r="1472" spans="2:20" x14ac:dyDescent="0.25">
      <c r="B1472" s="68"/>
      <c r="C1472" s="68"/>
      <c r="D1472" s="68"/>
      <c r="E1472" s="68"/>
      <c r="F1472" s="68"/>
      <c r="G1472" s="100"/>
      <c r="H1472" s="91"/>
      <c r="I1472" s="91"/>
      <c r="J1472" s="68"/>
      <c r="K1472" s="69"/>
      <c r="L1472" s="102"/>
      <c r="M1472" s="102"/>
      <c r="N1472" s="68"/>
      <c r="O1472" s="68"/>
      <c r="P1472" s="106"/>
      <c r="Q1472" s="107"/>
      <c r="R1472" s="107"/>
      <c r="S1472" s="107"/>
      <c r="T1472" s="107"/>
    </row>
    <row r="1473" spans="2:20" x14ac:dyDescent="0.25">
      <c r="B1473" s="68"/>
      <c r="C1473" s="68"/>
      <c r="D1473" s="68"/>
      <c r="E1473" s="68"/>
      <c r="F1473" s="68"/>
      <c r="G1473" s="100"/>
      <c r="H1473" s="91"/>
      <c r="I1473" s="91"/>
      <c r="J1473" s="68"/>
      <c r="K1473" s="69"/>
      <c r="L1473" s="102"/>
      <c r="M1473" s="102"/>
      <c r="N1473" s="68"/>
      <c r="O1473" s="68"/>
      <c r="P1473" s="106"/>
      <c r="Q1473" s="107"/>
      <c r="R1473" s="107"/>
      <c r="S1473" s="107"/>
      <c r="T1473" s="107"/>
    </row>
    <row r="1474" spans="2:20" x14ac:dyDescent="0.25">
      <c r="B1474" s="68"/>
      <c r="C1474" s="68"/>
      <c r="D1474" s="68"/>
      <c r="E1474" s="68"/>
      <c r="F1474" s="68"/>
      <c r="G1474" s="100"/>
      <c r="H1474" s="91"/>
      <c r="I1474" s="91"/>
      <c r="J1474" s="68"/>
      <c r="K1474" s="69"/>
      <c r="L1474" s="102"/>
      <c r="M1474" s="102"/>
      <c r="N1474" s="68"/>
      <c r="O1474" s="68"/>
      <c r="P1474" s="106"/>
      <c r="Q1474" s="107"/>
      <c r="R1474" s="107"/>
      <c r="S1474" s="107"/>
      <c r="T1474" s="107"/>
    </row>
    <row r="1475" spans="2:20" x14ac:dyDescent="0.25">
      <c r="B1475" s="68"/>
      <c r="C1475" s="68"/>
      <c r="D1475" s="68"/>
      <c r="E1475" s="68"/>
      <c r="F1475" s="68"/>
      <c r="G1475" s="100"/>
      <c r="H1475" s="91"/>
      <c r="I1475" s="91"/>
      <c r="J1475" s="68"/>
      <c r="K1475" s="69"/>
      <c r="L1475" s="102"/>
      <c r="M1475" s="102"/>
      <c r="N1475" s="68"/>
      <c r="O1475" s="68"/>
      <c r="P1475" s="106"/>
      <c r="Q1475" s="107"/>
      <c r="R1475" s="107"/>
      <c r="S1475" s="107"/>
      <c r="T1475" s="107"/>
    </row>
    <row r="1476" spans="2:20" x14ac:dyDescent="0.25">
      <c r="B1476" s="68"/>
      <c r="C1476" s="68"/>
      <c r="D1476" s="68"/>
      <c r="E1476" s="68"/>
      <c r="F1476" s="68"/>
      <c r="G1476" s="100"/>
      <c r="H1476" s="91"/>
      <c r="I1476" s="91"/>
      <c r="J1476" s="68"/>
      <c r="K1476" s="69"/>
      <c r="L1476" s="102"/>
      <c r="M1476" s="102"/>
      <c r="N1476" s="68"/>
      <c r="O1476" s="68"/>
      <c r="P1476" s="106"/>
      <c r="Q1476" s="107"/>
      <c r="R1476" s="107"/>
      <c r="S1476" s="107"/>
      <c r="T1476" s="107"/>
    </row>
    <row r="1477" spans="2:20" x14ac:dyDescent="0.25">
      <c r="B1477" s="68"/>
      <c r="C1477" s="68"/>
      <c r="D1477" s="68"/>
      <c r="E1477" s="68"/>
      <c r="F1477" s="68"/>
      <c r="G1477" s="100"/>
      <c r="H1477" s="91"/>
      <c r="I1477" s="91"/>
      <c r="J1477" s="68"/>
      <c r="K1477" s="69"/>
      <c r="L1477" s="102"/>
      <c r="M1477" s="102"/>
      <c r="N1477" s="68"/>
      <c r="O1477" s="68"/>
      <c r="P1477" s="106"/>
      <c r="Q1477" s="107"/>
      <c r="R1477" s="107"/>
      <c r="S1477" s="107"/>
      <c r="T1477" s="107"/>
    </row>
    <row r="1478" spans="2:20" x14ac:dyDescent="0.25">
      <c r="B1478" s="68"/>
      <c r="C1478" s="68"/>
      <c r="D1478" s="68"/>
      <c r="E1478" s="68"/>
      <c r="F1478" s="68"/>
      <c r="G1478" s="100"/>
      <c r="H1478" s="91"/>
      <c r="I1478" s="91"/>
      <c r="J1478" s="68"/>
      <c r="K1478" s="69"/>
      <c r="L1478" s="102"/>
      <c r="M1478" s="102"/>
      <c r="N1478" s="68"/>
      <c r="O1478" s="68"/>
      <c r="P1478" s="106"/>
      <c r="Q1478" s="107"/>
      <c r="R1478" s="107"/>
      <c r="S1478" s="107"/>
      <c r="T1478" s="107"/>
    </row>
    <row r="1479" spans="2:20" x14ac:dyDescent="0.25">
      <c r="B1479" s="68"/>
      <c r="C1479" s="68"/>
      <c r="D1479" s="68"/>
      <c r="E1479" s="68"/>
      <c r="F1479" s="68"/>
      <c r="G1479" s="100"/>
      <c r="H1479" s="91"/>
      <c r="I1479" s="91"/>
      <c r="J1479" s="68"/>
      <c r="K1479" s="69"/>
      <c r="L1479" s="102"/>
      <c r="M1479" s="102"/>
      <c r="N1479" s="68"/>
      <c r="O1479" s="68"/>
      <c r="P1479" s="106"/>
      <c r="Q1479" s="107"/>
      <c r="R1479" s="107"/>
      <c r="S1479" s="107"/>
      <c r="T1479" s="107"/>
    </row>
    <row r="1480" spans="2:20" x14ac:dyDescent="0.25">
      <c r="B1480" s="68"/>
      <c r="C1480" s="68"/>
      <c r="D1480" s="68"/>
      <c r="E1480" s="68"/>
      <c r="F1480" s="68"/>
      <c r="G1480" s="100"/>
      <c r="H1480" s="91"/>
      <c r="I1480" s="91"/>
      <c r="J1480" s="68"/>
      <c r="K1480" s="69"/>
      <c r="L1480" s="102"/>
      <c r="M1480" s="102"/>
      <c r="N1480" s="68"/>
      <c r="O1480" s="68"/>
      <c r="P1480" s="106"/>
      <c r="Q1480" s="107"/>
      <c r="R1480" s="107"/>
      <c r="S1480" s="107"/>
      <c r="T1480" s="107"/>
    </row>
    <row r="1481" spans="2:20" x14ac:dyDescent="0.25">
      <c r="B1481" s="68"/>
      <c r="C1481" s="68"/>
      <c r="D1481" s="68"/>
      <c r="E1481" s="68"/>
      <c r="F1481" s="68"/>
      <c r="G1481" s="100"/>
      <c r="H1481" s="91"/>
      <c r="I1481" s="91"/>
      <c r="J1481" s="68"/>
      <c r="K1481" s="69"/>
      <c r="L1481" s="102"/>
      <c r="M1481" s="102"/>
      <c r="N1481" s="68"/>
      <c r="O1481" s="68"/>
      <c r="P1481" s="106"/>
      <c r="Q1481" s="107"/>
      <c r="R1481" s="107"/>
      <c r="S1481" s="107"/>
      <c r="T1481" s="107"/>
    </row>
    <row r="1482" spans="2:20" x14ac:dyDescent="0.25">
      <c r="B1482" s="68"/>
      <c r="C1482" s="68"/>
      <c r="D1482" s="68"/>
      <c r="E1482" s="68"/>
      <c r="F1482" s="68"/>
      <c r="G1482" s="100"/>
      <c r="H1482" s="91"/>
      <c r="I1482" s="91"/>
      <c r="J1482" s="68"/>
      <c r="K1482" s="69"/>
      <c r="L1482" s="102"/>
      <c r="M1482" s="102"/>
      <c r="N1482" s="68"/>
      <c r="O1482" s="68"/>
      <c r="P1482" s="106"/>
      <c r="Q1482" s="107"/>
      <c r="R1482" s="107"/>
      <c r="S1482" s="107"/>
      <c r="T1482" s="107"/>
    </row>
    <row r="1483" spans="2:20" x14ac:dyDescent="0.25">
      <c r="B1483" s="68"/>
      <c r="C1483" s="68"/>
      <c r="D1483" s="68"/>
      <c r="E1483" s="68"/>
      <c r="F1483" s="68"/>
      <c r="G1483" s="100"/>
      <c r="H1483" s="91"/>
      <c r="I1483" s="91"/>
      <c r="J1483" s="68"/>
      <c r="K1483" s="69"/>
      <c r="L1483" s="102"/>
      <c r="M1483" s="102"/>
      <c r="N1483" s="68"/>
      <c r="O1483" s="68"/>
      <c r="P1483" s="106"/>
      <c r="Q1483" s="107"/>
      <c r="R1483" s="107"/>
      <c r="S1483" s="107"/>
      <c r="T1483" s="107"/>
    </row>
    <row r="1484" spans="2:20" x14ac:dyDescent="0.25">
      <c r="B1484" s="68"/>
      <c r="C1484" s="68"/>
      <c r="D1484" s="68"/>
      <c r="E1484" s="68"/>
      <c r="F1484" s="68"/>
      <c r="G1484" s="100"/>
      <c r="H1484" s="91"/>
      <c r="I1484" s="91"/>
      <c r="J1484" s="68"/>
      <c r="K1484" s="69"/>
      <c r="L1484" s="102"/>
      <c r="M1484" s="102"/>
      <c r="N1484" s="68"/>
      <c r="O1484" s="68"/>
      <c r="P1484" s="106"/>
      <c r="Q1484" s="107"/>
      <c r="R1484" s="107"/>
      <c r="S1484" s="107"/>
      <c r="T1484" s="107"/>
    </row>
    <row r="1485" spans="2:20" x14ac:dyDescent="0.25">
      <c r="B1485" s="68"/>
      <c r="C1485" s="68"/>
      <c r="D1485" s="68"/>
      <c r="E1485" s="68"/>
      <c r="F1485" s="68"/>
      <c r="G1485" s="100"/>
      <c r="H1485" s="91"/>
      <c r="I1485" s="91"/>
      <c r="J1485" s="68"/>
      <c r="K1485" s="69"/>
      <c r="L1485" s="102"/>
      <c r="M1485" s="102"/>
      <c r="N1485" s="68"/>
      <c r="O1485" s="68"/>
      <c r="P1485" s="106"/>
      <c r="Q1485" s="107"/>
      <c r="R1485" s="107"/>
      <c r="S1485" s="107"/>
      <c r="T1485" s="107"/>
    </row>
    <row r="1486" spans="2:20" x14ac:dyDescent="0.25">
      <c r="B1486" s="68"/>
      <c r="C1486" s="68"/>
      <c r="D1486" s="68"/>
      <c r="E1486" s="68"/>
      <c r="F1486" s="68"/>
      <c r="G1486" s="100"/>
      <c r="H1486" s="91"/>
      <c r="I1486" s="91"/>
      <c r="J1486" s="68"/>
      <c r="K1486" s="69"/>
      <c r="L1486" s="102"/>
      <c r="M1486" s="102"/>
      <c r="N1486" s="68"/>
      <c r="O1486" s="68"/>
      <c r="P1486" s="106"/>
      <c r="Q1486" s="107"/>
      <c r="R1486" s="107"/>
      <c r="S1486" s="107"/>
      <c r="T1486" s="107"/>
    </row>
    <row r="1487" spans="2:20" x14ac:dyDescent="0.25">
      <c r="B1487" s="68"/>
      <c r="C1487" s="68"/>
      <c r="D1487" s="68"/>
      <c r="E1487" s="68"/>
      <c r="F1487" s="68"/>
      <c r="G1487" s="100"/>
      <c r="H1487" s="91"/>
      <c r="I1487" s="91"/>
      <c r="J1487" s="68"/>
      <c r="K1487" s="69"/>
      <c r="L1487" s="102"/>
      <c r="M1487" s="102"/>
      <c r="N1487" s="68"/>
      <c r="O1487" s="68"/>
      <c r="P1487" s="106"/>
      <c r="Q1487" s="107"/>
      <c r="R1487" s="107"/>
      <c r="S1487" s="107"/>
      <c r="T1487" s="107"/>
    </row>
    <row r="1488" spans="2:20" x14ac:dyDescent="0.25">
      <c r="B1488" s="68"/>
      <c r="C1488" s="68"/>
      <c r="D1488" s="68"/>
      <c r="E1488" s="68"/>
      <c r="F1488" s="68"/>
      <c r="G1488" s="100"/>
      <c r="H1488" s="91"/>
      <c r="I1488" s="91"/>
      <c r="J1488" s="68"/>
      <c r="K1488" s="69"/>
      <c r="L1488" s="102"/>
      <c r="M1488" s="102"/>
      <c r="N1488" s="68"/>
      <c r="O1488" s="68"/>
      <c r="P1488" s="106"/>
      <c r="Q1488" s="107"/>
      <c r="R1488" s="107"/>
      <c r="S1488" s="107"/>
      <c r="T1488" s="107"/>
    </row>
    <row r="1489" spans="2:20" x14ac:dyDescent="0.25">
      <c r="B1489" s="68"/>
      <c r="C1489" s="68"/>
      <c r="D1489" s="68"/>
      <c r="E1489" s="68"/>
      <c r="F1489" s="68"/>
      <c r="G1489" s="100"/>
      <c r="H1489" s="91"/>
      <c r="I1489" s="91"/>
      <c r="J1489" s="68"/>
      <c r="K1489" s="69"/>
      <c r="L1489" s="102"/>
      <c r="M1489" s="102"/>
      <c r="N1489" s="68"/>
      <c r="O1489" s="68"/>
      <c r="P1489" s="106"/>
      <c r="Q1489" s="107"/>
      <c r="R1489" s="107"/>
      <c r="S1489" s="107"/>
      <c r="T1489" s="107"/>
    </row>
    <row r="1490" spans="2:20" x14ac:dyDescent="0.25">
      <c r="B1490" s="68"/>
      <c r="C1490" s="68"/>
      <c r="D1490" s="68"/>
      <c r="E1490" s="68"/>
      <c r="F1490" s="68"/>
      <c r="G1490" s="100"/>
      <c r="H1490" s="91"/>
      <c r="I1490" s="91"/>
      <c r="J1490" s="68"/>
      <c r="K1490" s="69"/>
      <c r="L1490" s="102"/>
      <c r="M1490" s="102"/>
      <c r="N1490" s="68"/>
      <c r="O1490" s="68"/>
      <c r="P1490" s="106"/>
      <c r="Q1490" s="107"/>
      <c r="R1490" s="107"/>
      <c r="S1490" s="107"/>
      <c r="T1490" s="107"/>
    </row>
    <row r="1491" spans="2:20" x14ac:dyDescent="0.25">
      <c r="B1491" s="68"/>
      <c r="C1491" s="68"/>
      <c r="D1491" s="68"/>
      <c r="E1491" s="68"/>
      <c r="F1491" s="68"/>
      <c r="G1491" s="100"/>
      <c r="H1491" s="91"/>
      <c r="I1491" s="91"/>
      <c r="J1491" s="68"/>
      <c r="K1491" s="69"/>
      <c r="L1491" s="102"/>
      <c r="M1491" s="102"/>
      <c r="N1491" s="68"/>
      <c r="O1491" s="68"/>
      <c r="P1491" s="106"/>
      <c r="Q1491" s="107"/>
      <c r="R1491" s="107"/>
      <c r="S1491" s="107"/>
      <c r="T1491" s="107"/>
    </row>
    <row r="1492" spans="2:20" x14ac:dyDescent="0.25">
      <c r="B1492" s="68"/>
      <c r="C1492" s="68"/>
      <c r="D1492" s="68"/>
      <c r="E1492" s="68"/>
      <c r="F1492" s="68"/>
      <c r="G1492" s="100"/>
      <c r="H1492" s="91"/>
      <c r="I1492" s="91"/>
      <c r="J1492" s="68"/>
      <c r="K1492" s="69"/>
      <c r="L1492" s="102"/>
      <c r="M1492" s="102"/>
      <c r="N1492" s="68"/>
      <c r="O1492" s="68"/>
      <c r="P1492" s="106"/>
      <c r="Q1492" s="107"/>
      <c r="R1492" s="107"/>
      <c r="S1492" s="107"/>
      <c r="T1492" s="107"/>
    </row>
    <row r="1493" spans="2:20" x14ac:dyDescent="0.25">
      <c r="B1493" s="68"/>
      <c r="C1493" s="68"/>
      <c r="D1493" s="68"/>
      <c r="E1493" s="68"/>
      <c r="F1493" s="68"/>
      <c r="G1493" s="100"/>
      <c r="H1493" s="91"/>
      <c r="I1493" s="91"/>
      <c r="J1493" s="68"/>
      <c r="K1493" s="69"/>
      <c r="L1493" s="102"/>
      <c r="M1493" s="102"/>
      <c r="N1493" s="68"/>
      <c r="O1493" s="68"/>
      <c r="P1493" s="106"/>
      <c r="Q1493" s="107"/>
      <c r="R1493" s="107"/>
      <c r="S1493" s="107"/>
      <c r="T1493" s="107"/>
    </row>
    <row r="1494" spans="2:20" x14ac:dyDescent="0.25">
      <c r="B1494" s="68"/>
      <c r="C1494" s="68"/>
      <c r="D1494" s="68"/>
      <c r="E1494" s="68"/>
      <c r="F1494" s="68"/>
      <c r="G1494" s="100"/>
      <c r="H1494" s="91"/>
      <c r="I1494" s="91"/>
      <c r="J1494" s="68"/>
      <c r="K1494" s="69"/>
      <c r="L1494" s="102"/>
      <c r="M1494" s="102"/>
      <c r="N1494" s="68"/>
      <c r="O1494" s="68"/>
      <c r="P1494" s="106"/>
      <c r="Q1494" s="107"/>
      <c r="R1494" s="107"/>
      <c r="S1494" s="107"/>
      <c r="T1494" s="107"/>
    </row>
    <row r="1495" spans="2:20" x14ac:dyDescent="0.25">
      <c r="B1495" s="68"/>
      <c r="C1495" s="68"/>
      <c r="D1495" s="68"/>
      <c r="E1495" s="68"/>
      <c r="F1495" s="68"/>
      <c r="G1495" s="100"/>
      <c r="H1495" s="91"/>
      <c r="I1495" s="91"/>
      <c r="J1495" s="68"/>
      <c r="K1495" s="69"/>
      <c r="L1495" s="102"/>
      <c r="M1495" s="102"/>
      <c r="N1495" s="68"/>
      <c r="O1495" s="68"/>
      <c r="P1495" s="106"/>
      <c r="Q1495" s="107"/>
      <c r="R1495" s="107"/>
      <c r="S1495" s="107"/>
      <c r="T1495" s="107"/>
    </row>
    <row r="1496" spans="2:20" x14ac:dyDescent="0.25">
      <c r="B1496" s="68"/>
      <c r="C1496" s="68"/>
      <c r="D1496" s="68"/>
      <c r="E1496" s="68"/>
      <c r="F1496" s="68"/>
      <c r="G1496" s="100"/>
      <c r="H1496" s="91"/>
      <c r="I1496" s="91"/>
      <c r="J1496" s="68"/>
      <c r="K1496" s="69"/>
      <c r="L1496" s="102"/>
      <c r="M1496" s="102"/>
      <c r="N1496" s="68"/>
      <c r="O1496" s="68"/>
      <c r="P1496" s="106"/>
      <c r="Q1496" s="107"/>
      <c r="R1496" s="107"/>
      <c r="S1496" s="107"/>
      <c r="T1496" s="107"/>
    </row>
    <row r="1497" spans="2:20" x14ac:dyDescent="0.25">
      <c r="B1497" s="68"/>
      <c r="C1497" s="68"/>
      <c r="D1497" s="68"/>
      <c r="E1497" s="68"/>
      <c r="F1497" s="68"/>
      <c r="G1497" s="100"/>
      <c r="H1497" s="91"/>
      <c r="I1497" s="91"/>
      <c r="J1497" s="68"/>
      <c r="K1497" s="69"/>
      <c r="L1497" s="102"/>
      <c r="M1497" s="102"/>
      <c r="N1497" s="68"/>
      <c r="O1497" s="68"/>
      <c r="P1497" s="106"/>
      <c r="Q1497" s="107"/>
      <c r="R1497" s="107"/>
      <c r="S1497" s="107"/>
      <c r="T1497" s="107"/>
    </row>
    <row r="1498" spans="2:20" x14ac:dyDescent="0.25">
      <c r="B1498" s="68"/>
      <c r="C1498" s="68"/>
      <c r="D1498" s="68"/>
      <c r="E1498" s="68"/>
      <c r="F1498" s="68"/>
      <c r="G1498" s="100"/>
      <c r="H1498" s="91"/>
      <c r="I1498" s="91"/>
      <c r="J1498" s="68"/>
      <c r="K1498" s="69"/>
      <c r="L1498" s="102"/>
      <c r="M1498" s="102"/>
      <c r="N1498" s="68"/>
      <c r="O1498" s="68"/>
      <c r="P1498" s="106"/>
      <c r="Q1498" s="107"/>
      <c r="R1498" s="107"/>
      <c r="S1498" s="107"/>
      <c r="T1498" s="107"/>
    </row>
    <row r="1499" spans="2:20" x14ac:dyDescent="0.25">
      <c r="B1499" s="68"/>
      <c r="C1499" s="68"/>
      <c r="D1499" s="68"/>
      <c r="E1499" s="68"/>
      <c r="F1499" s="68"/>
      <c r="G1499" s="100"/>
      <c r="H1499" s="91"/>
      <c r="I1499" s="91"/>
      <c r="J1499" s="68"/>
      <c r="K1499" s="69"/>
      <c r="L1499" s="102"/>
      <c r="M1499" s="102"/>
      <c r="N1499" s="68"/>
      <c r="O1499" s="68"/>
      <c r="P1499" s="106"/>
    </row>
    <row r="1500" spans="2:20" x14ac:dyDescent="0.25">
      <c r="B1500" s="68"/>
      <c r="C1500" s="68"/>
      <c r="D1500" s="68"/>
      <c r="E1500" s="68"/>
      <c r="F1500" s="68"/>
      <c r="G1500" s="100"/>
      <c r="H1500" s="91"/>
      <c r="I1500" s="91"/>
      <c r="J1500" s="68"/>
      <c r="K1500" s="69"/>
      <c r="L1500" s="102"/>
      <c r="M1500" s="102"/>
      <c r="N1500" s="68"/>
      <c r="O1500" s="68"/>
      <c r="P1500" s="106"/>
    </row>
    <row r="1501" spans="2:20" x14ac:dyDescent="0.25">
      <c r="B1501" s="68"/>
      <c r="C1501" s="68"/>
      <c r="D1501" s="68"/>
      <c r="E1501" s="68"/>
      <c r="F1501" s="68"/>
      <c r="G1501" s="100"/>
      <c r="H1501" s="91"/>
      <c r="I1501" s="91"/>
      <c r="J1501" s="68"/>
      <c r="K1501" s="69"/>
      <c r="L1501" s="102"/>
      <c r="M1501" s="102"/>
      <c r="N1501" s="68"/>
      <c r="O1501" s="68"/>
      <c r="P1501" s="106"/>
    </row>
    <row r="1502" spans="2:20" x14ac:dyDescent="0.25">
      <c r="B1502" s="68"/>
      <c r="C1502" s="68"/>
      <c r="D1502" s="68"/>
      <c r="E1502" s="68"/>
      <c r="F1502" s="68"/>
      <c r="G1502" s="100"/>
      <c r="H1502" s="91"/>
      <c r="I1502" s="91"/>
      <c r="J1502" s="68"/>
      <c r="K1502" s="69"/>
      <c r="L1502" s="102"/>
      <c r="M1502" s="102"/>
      <c r="N1502" s="68"/>
      <c r="O1502" s="68"/>
      <c r="P1502" s="106"/>
    </row>
    <row r="1503" spans="2:20" x14ac:dyDescent="0.25">
      <c r="B1503" s="68"/>
      <c r="C1503" s="68"/>
      <c r="D1503" s="68"/>
      <c r="E1503" s="68"/>
      <c r="F1503" s="68"/>
      <c r="G1503" s="100"/>
      <c r="H1503" s="91"/>
      <c r="I1503" s="91"/>
      <c r="J1503" s="68"/>
      <c r="K1503" s="69"/>
      <c r="L1503" s="102"/>
      <c r="M1503" s="102"/>
      <c r="N1503" s="68"/>
      <c r="O1503" s="68"/>
      <c r="P1503" s="106"/>
    </row>
    <row r="1504" spans="2:20" x14ac:dyDescent="0.25">
      <c r="B1504" s="68"/>
      <c r="C1504" s="68"/>
      <c r="D1504" s="68"/>
      <c r="E1504" s="68"/>
      <c r="F1504" s="68"/>
      <c r="G1504" s="100"/>
      <c r="H1504" s="91"/>
      <c r="I1504" s="91"/>
      <c r="J1504" s="68"/>
      <c r="K1504" s="69"/>
      <c r="L1504" s="102"/>
      <c r="M1504" s="102"/>
      <c r="N1504" s="68"/>
      <c r="O1504" s="68"/>
      <c r="P1504" s="106"/>
    </row>
    <row r="1505" spans="2:16" x14ac:dyDescent="0.25">
      <c r="B1505" s="68"/>
      <c r="C1505" s="68"/>
      <c r="D1505" s="68"/>
      <c r="E1505" s="68"/>
      <c r="F1505" s="68"/>
      <c r="G1505" s="100"/>
      <c r="H1505" s="91"/>
      <c r="I1505" s="91"/>
      <c r="J1505" s="68"/>
      <c r="K1505" s="69"/>
      <c r="L1505" s="102"/>
      <c r="M1505" s="102"/>
      <c r="N1505" s="68"/>
      <c r="O1505" s="68"/>
      <c r="P1505" s="106"/>
    </row>
    <row r="1506" spans="2:16" x14ac:dyDescent="0.25">
      <c r="B1506" s="68"/>
      <c r="C1506" s="68"/>
      <c r="D1506" s="68"/>
      <c r="E1506" s="68"/>
      <c r="F1506" s="68"/>
      <c r="G1506" s="100"/>
      <c r="H1506" s="91"/>
      <c r="I1506" s="91"/>
      <c r="J1506" s="68"/>
      <c r="K1506" s="69"/>
      <c r="L1506" s="102"/>
      <c r="M1506" s="102"/>
      <c r="N1506" s="68"/>
      <c r="O1506" s="68"/>
      <c r="P1506" s="106"/>
    </row>
    <row r="1507" spans="2:16" x14ac:dyDescent="0.25">
      <c r="B1507" s="68"/>
      <c r="C1507" s="68"/>
      <c r="D1507" s="68"/>
      <c r="E1507" s="68"/>
      <c r="F1507" s="68"/>
      <c r="G1507" s="100"/>
      <c r="H1507" s="91"/>
      <c r="I1507" s="91"/>
      <c r="J1507" s="68"/>
      <c r="K1507" s="69"/>
      <c r="L1507" s="102"/>
      <c r="M1507" s="102"/>
      <c r="N1507" s="68"/>
      <c r="O1507" s="68"/>
      <c r="P1507" s="106"/>
    </row>
    <row r="1508" spans="2:16" x14ac:dyDescent="0.25">
      <c r="B1508" s="68"/>
      <c r="C1508" s="68"/>
      <c r="D1508" s="68"/>
      <c r="E1508" s="68"/>
      <c r="F1508" s="68"/>
      <c r="G1508" s="100"/>
      <c r="H1508" s="91"/>
      <c r="I1508" s="91"/>
      <c r="J1508" s="68"/>
      <c r="K1508" s="69"/>
      <c r="L1508" s="102"/>
      <c r="M1508" s="102"/>
      <c r="N1508" s="68"/>
      <c r="O1508" s="68"/>
      <c r="P1508" s="106"/>
    </row>
    <row r="1509" spans="2:16" x14ac:dyDescent="0.25">
      <c r="B1509" s="68"/>
      <c r="C1509" s="68"/>
      <c r="D1509" s="68"/>
      <c r="E1509" s="68"/>
      <c r="F1509" s="68"/>
      <c r="G1509" s="100"/>
      <c r="H1509" s="91"/>
      <c r="I1509" s="91"/>
      <c r="J1509" s="68"/>
      <c r="K1509" s="69"/>
      <c r="L1509" s="102"/>
      <c r="M1509" s="102"/>
      <c r="N1509" s="68"/>
      <c r="O1509" s="68"/>
      <c r="P1509" s="106"/>
    </row>
    <row r="1510" spans="2:16" x14ac:dyDescent="0.25">
      <c r="B1510" s="68"/>
      <c r="C1510" s="68"/>
      <c r="D1510" s="68"/>
      <c r="E1510" s="68"/>
      <c r="F1510" s="68"/>
      <c r="G1510" s="100"/>
      <c r="H1510" s="91"/>
      <c r="I1510" s="91"/>
      <c r="J1510" s="68"/>
      <c r="K1510" s="69"/>
      <c r="L1510" s="102"/>
      <c r="M1510" s="102"/>
      <c r="N1510" s="68"/>
      <c r="O1510" s="68"/>
      <c r="P1510" s="106"/>
    </row>
    <row r="1511" spans="2:16" x14ac:dyDescent="0.25">
      <c r="B1511" s="68"/>
      <c r="C1511" s="68"/>
      <c r="D1511" s="68"/>
      <c r="E1511" s="68"/>
      <c r="F1511" s="68"/>
      <c r="G1511" s="100"/>
      <c r="H1511" s="91"/>
      <c r="I1511" s="91"/>
      <c r="J1511" s="68"/>
      <c r="K1511" s="69"/>
      <c r="L1511" s="102"/>
      <c r="M1511" s="102"/>
      <c r="N1511" s="68"/>
      <c r="O1511" s="68"/>
      <c r="P1511" s="106"/>
    </row>
    <row r="1512" spans="2:16" x14ac:dyDescent="0.25">
      <c r="B1512" s="68"/>
      <c r="C1512" s="68"/>
      <c r="D1512" s="68"/>
      <c r="E1512" s="68"/>
      <c r="F1512" s="68"/>
      <c r="G1512" s="100"/>
      <c r="H1512" s="91"/>
      <c r="I1512" s="91"/>
      <c r="J1512" s="68"/>
      <c r="K1512" s="69"/>
      <c r="L1512" s="102"/>
      <c r="M1512" s="102"/>
      <c r="N1512" s="68"/>
      <c r="O1512" s="68"/>
      <c r="P1512" s="106"/>
    </row>
    <row r="1513" spans="2:16" x14ac:dyDescent="0.25">
      <c r="B1513" s="68"/>
      <c r="C1513" s="68"/>
      <c r="D1513" s="68"/>
      <c r="E1513" s="68"/>
      <c r="F1513" s="68"/>
      <c r="G1513" s="100"/>
      <c r="H1513" s="91"/>
      <c r="I1513" s="91"/>
      <c r="J1513" s="68"/>
      <c r="K1513" s="69"/>
      <c r="L1513" s="102"/>
      <c r="M1513" s="102"/>
      <c r="N1513" s="68"/>
      <c r="O1513" s="68"/>
      <c r="P1513" s="106"/>
    </row>
    <row r="1514" spans="2:16" x14ac:dyDescent="0.25">
      <c r="B1514" s="68"/>
      <c r="C1514" s="68"/>
      <c r="D1514" s="68"/>
      <c r="E1514" s="68"/>
      <c r="F1514" s="68"/>
      <c r="G1514" s="100"/>
      <c r="H1514" s="91"/>
      <c r="I1514" s="91"/>
      <c r="J1514" s="68"/>
      <c r="K1514" s="69"/>
      <c r="L1514" s="102"/>
      <c r="M1514" s="102"/>
      <c r="N1514" s="68"/>
      <c r="O1514" s="68"/>
      <c r="P1514" s="106"/>
    </row>
    <row r="1515" spans="2:16" x14ac:dyDescent="0.25">
      <c r="B1515" s="68"/>
      <c r="C1515" s="68"/>
      <c r="D1515" s="68"/>
      <c r="E1515" s="68"/>
      <c r="F1515" s="68"/>
      <c r="G1515" s="100"/>
      <c r="H1515" s="91"/>
      <c r="I1515" s="91"/>
      <c r="J1515" s="68"/>
      <c r="K1515" s="69"/>
      <c r="L1515" s="102"/>
      <c r="M1515" s="102"/>
      <c r="N1515" s="68"/>
      <c r="O1515" s="68"/>
      <c r="P1515" s="106"/>
    </row>
    <row r="1516" spans="2:16" x14ac:dyDescent="0.25">
      <c r="B1516" s="68"/>
      <c r="C1516" s="68"/>
      <c r="D1516" s="68"/>
      <c r="E1516" s="68"/>
      <c r="F1516" s="68"/>
      <c r="G1516" s="100"/>
      <c r="H1516" s="91"/>
      <c r="I1516" s="91"/>
      <c r="J1516" s="68"/>
      <c r="K1516" s="69"/>
      <c r="L1516" s="102"/>
      <c r="M1516" s="102"/>
      <c r="N1516" s="68"/>
      <c r="O1516" s="68"/>
      <c r="P1516" s="106"/>
    </row>
    <row r="1517" spans="2:16" x14ac:dyDescent="0.25">
      <c r="B1517" s="68"/>
      <c r="C1517" s="68"/>
      <c r="D1517" s="68"/>
      <c r="E1517" s="68"/>
      <c r="F1517" s="68"/>
      <c r="G1517" s="100"/>
      <c r="H1517" s="91"/>
      <c r="I1517" s="91"/>
      <c r="J1517" s="68"/>
      <c r="K1517" s="69"/>
      <c r="L1517" s="102"/>
      <c r="M1517" s="102"/>
      <c r="N1517" s="68"/>
      <c r="O1517" s="68"/>
      <c r="P1517" s="106"/>
    </row>
    <row r="1518" spans="2:16" x14ac:dyDescent="0.25">
      <c r="B1518" s="68"/>
      <c r="C1518" s="68"/>
      <c r="D1518" s="68"/>
      <c r="E1518" s="68"/>
      <c r="F1518" s="68"/>
      <c r="G1518" s="100"/>
      <c r="H1518" s="91"/>
      <c r="I1518" s="91"/>
      <c r="J1518" s="68"/>
      <c r="K1518" s="69"/>
      <c r="L1518" s="102"/>
      <c r="M1518" s="102"/>
      <c r="N1518" s="68"/>
      <c r="O1518" s="68"/>
      <c r="P1518" s="106"/>
    </row>
    <row r="1519" spans="2:16" x14ac:dyDescent="0.25">
      <c r="B1519" s="68"/>
      <c r="C1519" s="68"/>
      <c r="D1519" s="68"/>
      <c r="E1519" s="68"/>
      <c r="F1519" s="68"/>
      <c r="G1519" s="100"/>
      <c r="H1519" s="91"/>
      <c r="I1519" s="91"/>
      <c r="J1519" s="68"/>
      <c r="K1519" s="69"/>
      <c r="L1519" s="102"/>
      <c r="M1519" s="102"/>
      <c r="N1519" s="68"/>
      <c r="O1519" s="68"/>
      <c r="P1519" s="106"/>
    </row>
    <row r="1520" spans="2:16" x14ac:dyDescent="0.25">
      <c r="B1520" s="68"/>
      <c r="C1520" s="68"/>
      <c r="D1520" s="68"/>
      <c r="E1520" s="68"/>
      <c r="F1520" s="68"/>
      <c r="G1520" s="100"/>
      <c r="H1520" s="91"/>
      <c r="I1520" s="91"/>
      <c r="J1520" s="68"/>
      <c r="K1520" s="69"/>
      <c r="L1520" s="102"/>
      <c r="M1520" s="102"/>
      <c r="N1520" s="68"/>
      <c r="O1520" s="68"/>
      <c r="P1520" s="106"/>
    </row>
    <row r="1521" spans="2:16" x14ac:dyDescent="0.25">
      <c r="B1521" s="68"/>
      <c r="C1521" s="68"/>
      <c r="D1521" s="68"/>
      <c r="E1521" s="68"/>
      <c r="F1521" s="68"/>
      <c r="G1521" s="100"/>
      <c r="H1521" s="91"/>
      <c r="I1521" s="91"/>
      <c r="J1521" s="68"/>
      <c r="K1521" s="69"/>
      <c r="L1521" s="102"/>
      <c r="M1521" s="102"/>
      <c r="N1521" s="68"/>
      <c r="O1521" s="68"/>
      <c r="P1521" s="106"/>
    </row>
    <row r="1522" spans="2:16" x14ac:dyDescent="0.25">
      <c r="B1522" s="68"/>
      <c r="C1522" s="68"/>
      <c r="D1522" s="68"/>
      <c r="E1522" s="68"/>
      <c r="F1522" s="68"/>
      <c r="G1522" s="100"/>
      <c r="H1522" s="91"/>
      <c r="I1522" s="91"/>
      <c r="J1522" s="68"/>
      <c r="K1522" s="69"/>
      <c r="L1522" s="102"/>
      <c r="M1522" s="102"/>
      <c r="N1522" s="68"/>
      <c r="O1522" s="68"/>
      <c r="P1522" s="106"/>
    </row>
    <row r="1523" spans="2:16" x14ac:dyDescent="0.25">
      <c r="B1523" s="68"/>
      <c r="C1523" s="68"/>
      <c r="D1523" s="68"/>
      <c r="E1523" s="68"/>
      <c r="F1523" s="68"/>
      <c r="G1523" s="100"/>
      <c r="H1523" s="91"/>
      <c r="I1523" s="91"/>
      <c r="J1523" s="68"/>
      <c r="K1523" s="69"/>
      <c r="L1523" s="102"/>
      <c r="M1523" s="102"/>
      <c r="N1523" s="68"/>
      <c r="O1523" s="68"/>
      <c r="P1523" s="106"/>
    </row>
    <row r="1524" spans="2:16" x14ac:dyDescent="0.25">
      <c r="B1524" s="68"/>
      <c r="C1524" s="68"/>
      <c r="D1524" s="68"/>
      <c r="E1524" s="68"/>
      <c r="F1524" s="68"/>
      <c r="G1524" s="100"/>
      <c r="H1524" s="91"/>
      <c r="I1524" s="91"/>
      <c r="J1524" s="68"/>
      <c r="K1524" s="69"/>
      <c r="L1524" s="102"/>
      <c r="M1524" s="102"/>
      <c r="N1524" s="68"/>
      <c r="O1524" s="68"/>
      <c r="P1524" s="106"/>
    </row>
    <row r="1525" spans="2:16" x14ac:dyDescent="0.25">
      <c r="B1525" s="68"/>
      <c r="C1525" s="68"/>
      <c r="D1525" s="68"/>
      <c r="E1525" s="68"/>
      <c r="F1525" s="68"/>
      <c r="G1525" s="100"/>
      <c r="H1525" s="91"/>
      <c r="I1525" s="91"/>
      <c r="J1525" s="68"/>
      <c r="K1525" s="69"/>
      <c r="L1525" s="102"/>
      <c r="M1525" s="102"/>
      <c r="N1525" s="68"/>
      <c r="O1525" s="68"/>
      <c r="P1525" s="106"/>
    </row>
    <row r="1526" spans="2:16" x14ac:dyDescent="0.25">
      <c r="B1526" s="68"/>
      <c r="C1526" s="68"/>
      <c r="D1526" s="68"/>
      <c r="E1526" s="68"/>
      <c r="F1526" s="68"/>
      <c r="G1526" s="100"/>
      <c r="H1526" s="91"/>
      <c r="I1526" s="91"/>
      <c r="J1526" s="68"/>
      <c r="K1526" s="69"/>
      <c r="L1526" s="102"/>
      <c r="M1526" s="102"/>
      <c r="N1526" s="68"/>
      <c r="O1526" s="68"/>
      <c r="P1526" s="106"/>
    </row>
    <row r="1527" spans="2:16" x14ac:dyDescent="0.25">
      <c r="B1527" s="68"/>
      <c r="C1527" s="68"/>
      <c r="D1527" s="68"/>
      <c r="E1527" s="68"/>
      <c r="F1527" s="68"/>
      <c r="G1527" s="100"/>
      <c r="H1527" s="91"/>
      <c r="I1527" s="91"/>
      <c r="J1527" s="68"/>
      <c r="K1527" s="69"/>
      <c r="L1527" s="102"/>
      <c r="M1527" s="102"/>
      <c r="N1527" s="68"/>
      <c r="O1527" s="68"/>
      <c r="P1527" s="106"/>
    </row>
    <row r="1528" spans="2:16" x14ac:dyDescent="0.25">
      <c r="B1528" s="68"/>
      <c r="C1528" s="68"/>
      <c r="D1528" s="68"/>
      <c r="E1528" s="68"/>
      <c r="F1528" s="68"/>
      <c r="G1528" s="100"/>
      <c r="H1528" s="91"/>
      <c r="I1528" s="91"/>
      <c r="J1528" s="68"/>
      <c r="K1528" s="69"/>
      <c r="L1528" s="102"/>
      <c r="M1528" s="102"/>
      <c r="N1528" s="68"/>
      <c r="O1528" s="68"/>
      <c r="P1528" s="106"/>
    </row>
    <row r="1529" spans="2:16" x14ac:dyDescent="0.25">
      <c r="B1529" s="68"/>
      <c r="C1529" s="68"/>
      <c r="D1529" s="68"/>
      <c r="E1529" s="68"/>
      <c r="F1529" s="68"/>
      <c r="G1529" s="100"/>
      <c r="H1529" s="91"/>
      <c r="I1529" s="91"/>
      <c r="J1529" s="68"/>
      <c r="K1529" s="69"/>
      <c r="L1529" s="102"/>
      <c r="M1529" s="102"/>
      <c r="N1529" s="68"/>
      <c r="O1529" s="68"/>
      <c r="P1529" s="106"/>
    </row>
    <row r="1530" spans="2:16" x14ac:dyDescent="0.25">
      <c r="B1530" s="68"/>
      <c r="C1530" s="68"/>
      <c r="D1530" s="68"/>
      <c r="E1530" s="68"/>
      <c r="F1530" s="68"/>
      <c r="G1530" s="100"/>
      <c r="H1530" s="91"/>
      <c r="I1530" s="91"/>
      <c r="J1530" s="68"/>
      <c r="K1530" s="69"/>
      <c r="L1530" s="102"/>
      <c r="M1530" s="102"/>
      <c r="N1530" s="68"/>
      <c r="O1530" s="68"/>
      <c r="P1530" s="106"/>
    </row>
    <row r="1531" spans="2:16" x14ac:dyDescent="0.25">
      <c r="B1531" s="68"/>
      <c r="C1531" s="68"/>
      <c r="D1531" s="68"/>
      <c r="E1531" s="68"/>
      <c r="F1531" s="68"/>
      <c r="G1531" s="100"/>
      <c r="H1531" s="91"/>
      <c r="I1531" s="91"/>
      <c r="J1531" s="68"/>
      <c r="K1531" s="69"/>
      <c r="L1531" s="102"/>
      <c r="M1531" s="102"/>
      <c r="N1531" s="68"/>
      <c r="O1531" s="68"/>
      <c r="P1531" s="106"/>
    </row>
    <row r="1532" spans="2:16" x14ac:dyDescent="0.25">
      <c r="B1532" s="68"/>
      <c r="C1532" s="68"/>
      <c r="D1532" s="68"/>
      <c r="E1532" s="68"/>
      <c r="F1532" s="68"/>
      <c r="G1532" s="100"/>
      <c r="H1532" s="91"/>
      <c r="I1532" s="91"/>
      <c r="J1532" s="68"/>
      <c r="K1532" s="69"/>
      <c r="L1532" s="102"/>
      <c r="M1532" s="102"/>
      <c r="N1532" s="68"/>
      <c r="O1532" s="68"/>
      <c r="P1532" s="106"/>
    </row>
    <row r="1533" spans="2:16" x14ac:dyDescent="0.25">
      <c r="B1533" s="68"/>
      <c r="C1533" s="68"/>
      <c r="D1533" s="68"/>
      <c r="E1533" s="68"/>
      <c r="F1533" s="68"/>
      <c r="G1533" s="100"/>
      <c r="H1533" s="91"/>
      <c r="I1533" s="91"/>
      <c r="J1533" s="68"/>
      <c r="K1533" s="69"/>
      <c r="L1533" s="102"/>
      <c r="M1533" s="102"/>
      <c r="N1533" s="68"/>
      <c r="O1533" s="68"/>
      <c r="P1533" s="106"/>
    </row>
    <row r="1534" spans="2:16" x14ac:dyDescent="0.25">
      <c r="B1534" s="68"/>
      <c r="C1534" s="68"/>
      <c r="D1534" s="68"/>
      <c r="E1534" s="68"/>
      <c r="F1534" s="68"/>
      <c r="G1534" s="100"/>
      <c r="H1534" s="91"/>
      <c r="I1534" s="91"/>
      <c r="J1534" s="68"/>
      <c r="K1534" s="69"/>
      <c r="L1534" s="102"/>
      <c r="M1534" s="102"/>
      <c r="N1534" s="68"/>
      <c r="O1534" s="68"/>
      <c r="P1534" s="106"/>
    </row>
    <row r="1535" spans="2:16" x14ac:dyDescent="0.25">
      <c r="B1535" s="68"/>
      <c r="C1535" s="68"/>
      <c r="D1535" s="68"/>
      <c r="E1535" s="68"/>
      <c r="F1535" s="68"/>
      <c r="G1535" s="100"/>
      <c r="H1535" s="91"/>
      <c r="I1535" s="91"/>
      <c r="J1535" s="68"/>
      <c r="K1535" s="69"/>
      <c r="L1535" s="102"/>
      <c r="M1535" s="102"/>
      <c r="N1535" s="68"/>
      <c r="O1535" s="68"/>
      <c r="P1535" s="106"/>
    </row>
    <row r="1536" spans="2:16" x14ac:dyDescent="0.25">
      <c r="B1536" s="68"/>
      <c r="C1536" s="68"/>
      <c r="D1536" s="68"/>
      <c r="E1536" s="68"/>
      <c r="F1536" s="68"/>
      <c r="G1536" s="100"/>
      <c r="H1536" s="91"/>
      <c r="I1536" s="91"/>
      <c r="J1536" s="68"/>
      <c r="K1536" s="69"/>
      <c r="L1536" s="102"/>
      <c r="M1536" s="102"/>
      <c r="N1536" s="68"/>
      <c r="O1536" s="68"/>
      <c r="P1536" s="106"/>
    </row>
    <row r="1537" spans="2:16" x14ac:dyDescent="0.25">
      <c r="B1537" s="68"/>
      <c r="C1537" s="68"/>
      <c r="D1537" s="68"/>
      <c r="E1537" s="68"/>
      <c r="F1537" s="68"/>
      <c r="G1537" s="100"/>
      <c r="H1537" s="91"/>
      <c r="I1537" s="91"/>
      <c r="J1537" s="68"/>
      <c r="K1537" s="69"/>
      <c r="L1537" s="102"/>
      <c r="M1537" s="102"/>
      <c r="N1537" s="68"/>
      <c r="O1537" s="68"/>
      <c r="P1537" s="106"/>
    </row>
    <row r="1538" spans="2:16" x14ac:dyDescent="0.25">
      <c r="B1538" s="68"/>
      <c r="C1538" s="68"/>
      <c r="D1538" s="68"/>
      <c r="E1538" s="68"/>
      <c r="F1538" s="68"/>
      <c r="G1538" s="100"/>
      <c r="H1538" s="91"/>
      <c r="I1538" s="91"/>
      <c r="J1538" s="68"/>
      <c r="K1538" s="69"/>
      <c r="L1538" s="102"/>
      <c r="M1538" s="102"/>
      <c r="N1538" s="68"/>
      <c r="O1538" s="68"/>
      <c r="P1538" s="106"/>
    </row>
    <row r="1539" spans="2:16" x14ac:dyDescent="0.25">
      <c r="B1539" s="68"/>
      <c r="C1539" s="68"/>
      <c r="D1539" s="68"/>
      <c r="E1539" s="68"/>
      <c r="F1539" s="68"/>
      <c r="G1539" s="100"/>
      <c r="H1539" s="91"/>
      <c r="I1539" s="91"/>
      <c r="J1539" s="68"/>
      <c r="K1539" s="69"/>
      <c r="L1539" s="102"/>
      <c r="M1539" s="102"/>
      <c r="N1539" s="68"/>
      <c r="O1539" s="68"/>
      <c r="P1539" s="106"/>
    </row>
    <row r="1540" spans="2:16" x14ac:dyDescent="0.25">
      <c r="B1540" s="68"/>
      <c r="C1540" s="68"/>
      <c r="D1540" s="68"/>
      <c r="E1540" s="68"/>
      <c r="F1540" s="68"/>
      <c r="G1540" s="100"/>
      <c r="H1540" s="91"/>
      <c r="I1540" s="91"/>
      <c r="J1540" s="68"/>
      <c r="K1540" s="69"/>
      <c r="L1540" s="102"/>
      <c r="M1540" s="102"/>
      <c r="N1540" s="68"/>
      <c r="O1540" s="68"/>
      <c r="P1540" s="106"/>
    </row>
    <row r="1541" spans="2:16" x14ac:dyDescent="0.25">
      <c r="B1541" s="68"/>
      <c r="C1541" s="68"/>
      <c r="D1541" s="68"/>
      <c r="E1541" s="68"/>
      <c r="F1541" s="68"/>
      <c r="G1541" s="100"/>
      <c r="H1541" s="91"/>
      <c r="I1541" s="91"/>
      <c r="J1541" s="68"/>
      <c r="K1541" s="69"/>
      <c r="L1541" s="102"/>
      <c r="M1541" s="102"/>
      <c r="N1541" s="68"/>
      <c r="O1541" s="68"/>
      <c r="P1541" s="106"/>
    </row>
    <row r="1542" spans="2:16" x14ac:dyDescent="0.25">
      <c r="B1542" s="68"/>
      <c r="C1542" s="68"/>
      <c r="D1542" s="68"/>
      <c r="E1542" s="68"/>
      <c r="F1542" s="68"/>
      <c r="G1542" s="100"/>
      <c r="H1542" s="91"/>
      <c r="I1542" s="91"/>
      <c r="J1542" s="68"/>
      <c r="K1542" s="69"/>
      <c r="L1542" s="102"/>
      <c r="M1542" s="102"/>
      <c r="N1542" s="68"/>
      <c r="O1542" s="68"/>
      <c r="P1542" s="106"/>
    </row>
    <row r="1543" spans="2:16" x14ac:dyDescent="0.25">
      <c r="B1543" s="68"/>
      <c r="C1543" s="68"/>
      <c r="D1543" s="68"/>
      <c r="E1543" s="68"/>
      <c r="F1543" s="68"/>
      <c r="G1543" s="100"/>
      <c r="H1543" s="91"/>
      <c r="I1543" s="91"/>
      <c r="J1543" s="68"/>
      <c r="K1543" s="69"/>
      <c r="L1543" s="102"/>
      <c r="M1543" s="102"/>
      <c r="N1543" s="68"/>
      <c r="O1543" s="68"/>
      <c r="P1543" s="106"/>
    </row>
    <row r="1544" spans="2:16" x14ac:dyDescent="0.25">
      <c r="B1544" s="68"/>
      <c r="C1544" s="68"/>
      <c r="D1544" s="68"/>
      <c r="E1544" s="68"/>
      <c r="F1544" s="68"/>
      <c r="G1544" s="100"/>
      <c r="H1544" s="91"/>
      <c r="I1544" s="91"/>
      <c r="J1544" s="68"/>
      <c r="K1544" s="69"/>
      <c r="L1544" s="102"/>
      <c r="M1544" s="102"/>
      <c r="N1544" s="68"/>
      <c r="O1544" s="68"/>
      <c r="P1544" s="106"/>
    </row>
    <row r="1545" spans="2:16" x14ac:dyDescent="0.25">
      <c r="B1545" s="68"/>
      <c r="C1545" s="68"/>
      <c r="D1545" s="68"/>
      <c r="E1545" s="68"/>
      <c r="F1545" s="68"/>
      <c r="G1545" s="100"/>
      <c r="H1545" s="91"/>
      <c r="I1545" s="91"/>
      <c r="J1545" s="68"/>
      <c r="K1545" s="69"/>
      <c r="L1545" s="102"/>
      <c r="M1545" s="102"/>
      <c r="N1545" s="68"/>
      <c r="O1545" s="68"/>
      <c r="P1545" s="106"/>
    </row>
    <row r="1546" spans="2:16" x14ac:dyDescent="0.25">
      <c r="B1546" s="68"/>
      <c r="C1546" s="68"/>
      <c r="D1546" s="68"/>
      <c r="E1546" s="68"/>
      <c r="F1546" s="68"/>
      <c r="G1546" s="100"/>
      <c r="H1546" s="91"/>
      <c r="I1546" s="91"/>
      <c r="J1546" s="68"/>
      <c r="K1546" s="69"/>
      <c r="L1546" s="102"/>
      <c r="M1546" s="102"/>
      <c r="N1546" s="68"/>
      <c r="O1546" s="68"/>
      <c r="P1546" s="106"/>
    </row>
    <row r="1547" spans="2:16" x14ac:dyDescent="0.25">
      <c r="B1547" s="68"/>
      <c r="C1547" s="68"/>
      <c r="D1547" s="68"/>
      <c r="E1547" s="68"/>
      <c r="F1547" s="68"/>
      <c r="G1547" s="100"/>
      <c r="H1547" s="91"/>
      <c r="I1547" s="91"/>
      <c r="J1547" s="68"/>
      <c r="K1547" s="69"/>
      <c r="L1547" s="102"/>
      <c r="M1547" s="102"/>
      <c r="N1547" s="68"/>
      <c r="O1547" s="68"/>
      <c r="P1547" s="106"/>
    </row>
    <row r="1548" spans="2:16" x14ac:dyDescent="0.25">
      <c r="B1548" s="68"/>
      <c r="C1548" s="68"/>
      <c r="D1548" s="68"/>
      <c r="E1548" s="68"/>
      <c r="F1548" s="68"/>
      <c r="G1548" s="100"/>
      <c r="H1548" s="91"/>
      <c r="I1548" s="91"/>
      <c r="J1548" s="68"/>
      <c r="K1548" s="69"/>
      <c r="L1548" s="102"/>
      <c r="M1548" s="102"/>
      <c r="N1548" s="68"/>
      <c r="O1548" s="68"/>
      <c r="P1548" s="106"/>
    </row>
    <row r="1549" spans="2:16" x14ac:dyDescent="0.25">
      <c r="B1549" s="68"/>
      <c r="C1549" s="68"/>
      <c r="D1549" s="68"/>
      <c r="E1549" s="68"/>
      <c r="F1549" s="68"/>
      <c r="G1549" s="100"/>
      <c r="H1549" s="91"/>
      <c r="I1549" s="91"/>
      <c r="J1549" s="68"/>
      <c r="K1549" s="69"/>
      <c r="L1549" s="102"/>
      <c r="M1549" s="102"/>
      <c r="N1549" s="68"/>
      <c r="O1549" s="68"/>
      <c r="P1549" s="106"/>
    </row>
    <row r="1550" spans="2:16" x14ac:dyDescent="0.25">
      <c r="B1550" s="68"/>
      <c r="C1550" s="68"/>
      <c r="D1550" s="68"/>
      <c r="E1550" s="68"/>
      <c r="F1550" s="68"/>
      <c r="G1550" s="100"/>
      <c r="H1550" s="91"/>
      <c r="I1550" s="91"/>
      <c r="J1550" s="68"/>
      <c r="K1550" s="69"/>
      <c r="L1550" s="102"/>
      <c r="M1550" s="102"/>
      <c r="N1550" s="68"/>
      <c r="O1550" s="68"/>
      <c r="P1550" s="106"/>
    </row>
    <row r="1551" spans="2:16" x14ac:dyDescent="0.25">
      <c r="B1551" s="68"/>
      <c r="C1551" s="68"/>
      <c r="D1551" s="68"/>
      <c r="E1551" s="68"/>
      <c r="F1551" s="68"/>
      <c r="G1551" s="100"/>
      <c r="H1551" s="91"/>
      <c r="I1551" s="91"/>
      <c r="J1551" s="68"/>
      <c r="K1551" s="69"/>
      <c r="L1551" s="102"/>
      <c r="M1551" s="102"/>
      <c r="N1551" s="68"/>
      <c r="O1551" s="68"/>
      <c r="P1551" s="106"/>
    </row>
    <row r="1552" spans="2:16" x14ac:dyDescent="0.25">
      <c r="B1552" s="68"/>
      <c r="C1552" s="68"/>
      <c r="D1552" s="68"/>
      <c r="E1552" s="68"/>
      <c r="F1552" s="68"/>
      <c r="G1552" s="100"/>
      <c r="H1552" s="91"/>
      <c r="I1552" s="91"/>
      <c r="J1552" s="68"/>
      <c r="K1552" s="69"/>
      <c r="L1552" s="102"/>
      <c r="M1552" s="102"/>
      <c r="N1552" s="68"/>
      <c r="O1552" s="68"/>
      <c r="P1552" s="106"/>
    </row>
    <row r="1553" spans="2:16" x14ac:dyDescent="0.25">
      <c r="B1553" s="68"/>
      <c r="C1553" s="68"/>
      <c r="D1553" s="68"/>
      <c r="E1553" s="68"/>
      <c r="F1553" s="68"/>
      <c r="G1553" s="100"/>
      <c r="H1553" s="91"/>
      <c r="I1553" s="91"/>
      <c r="J1553" s="68"/>
      <c r="K1553" s="69"/>
      <c r="L1553" s="102"/>
      <c r="M1553" s="102"/>
      <c r="N1553" s="68"/>
      <c r="O1553" s="68"/>
      <c r="P1553" s="106"/>
    </row>
    <row r="1554" spans="2:16" x14ac:dyDescent="0.25">
      <c r="B1554" s="68"/>
      <c r="C1554" s="68"/>
      <c r="D1554" s="68"/>
      <c r="E1554" s="68"/>
      <c r="F1554" s="68"/>
      <c r="G1554" s="100"/>
      <c r="H1554" s="91"/>
      <c r="I1554" s="91"/>
      <c r="J1554" s="68"/>
      <c r="K1554" s="69"/>
      <c r="L1554" s="102"/>
      <c r="M1554" s="102"/>
      <c r="N1554" s="68"/>
      <c r="O1554" s="68"/>
      <c r="P1554" s="106"/>
    </row>
    <row r="1555" spans="2:16" x14ac:dyDescent="0.25">
      <c r="B1555" s="68"/>
      <c r="C1555" s="68"/>
      <c r="D1555" s="68"/>
      <c r="E1555" s="68"/>
      <c r="F1555" s="68"/>
      <c r="G1555" s="100"/>
      <c r="H1555" s="91"/>
      <c r="I1555" s="91"/>
      <c r="J1555" s="68"/>
      <c r="K1555" s="69"/>
      <c r="L1555" s="102"/>
      <c r="M1555" s="102"/>
      <c r="N1555" s="68"/>
      <c r="O1555" s="68"/>
      <c r="P1555" s="106"/>
    </row>
    <row r="1556" spans="2:16" x14ac:dyDescent="0.25">
      <c r="B1556" s="68"/>
      <c r="C1556" s="68"/>
      <c r="D1556" s="68"/>
      <c r="E1556" s="68"/>
      <c r="F1556" s="68"/>
      <c r="G1556" s="100"/>
      <c r="H1556" s="91"/>
      <c r="I1556" s="91"/>
      <c r="J1556" s="68"/>
      <c r="K1556" s="69"/>
      <c r="L1556" s="102"/>
      <c r="M1556" s="102"/>
      <c r="N1556" s="68"/>
      <c r="O1556" s="68"/>
      <c r="P1556" s="106"/>
    </row>
    <row r="1557" spans="2:16" x14ac:dyDescent="0.25">
      <c r="B1557" s="68"/>
      <c r="C1557" s="68"/>
      <c r="D1557" s="68"/>
      <c r="E1557" s="68"/>
      <c r="F1557" s="68"/>
      <c r="G1557" s="100"/>
      <c r="H1557" s="91"/>
      <c r="I1557" s="91"/>
      <c r="J1557" s="68"/>
      <c r="K1557" s="69"/>
      <c r="L1557" s="102"/>
      <c r="M1557" s="102"/>
      <c r="N1557" s="68"/>
      <c r="O1557" s="68"/>
      <c r="P1557" s="106"/>
    </row>
    <row r="1558" spans="2:16" x14ac:dyDescent="0.25">
      <c r="B1558" s="68"/>
      <c r="C1558" s="68"/>
      <c r="D1558" s="68"/>
      <c r="E1558" s="68"/>
      <c r="F1558" s="68"/>
      <c r="G1558" s="100"/>
      <c r="H1558" s="91"/>
      <c r="I1558" s="91"/>
      <c r="J1558" s="68"/>
      <c r="K1558" s="69"/>
      <c r="L1558" s="102"/>
      <c r="M1558" s="102"/>
      <c r="N1558" s="68"/>
      <c r="O1558" s="68"/>
      <c r="P1558" s="106"/>
    </row>
    <row r="1559" spans="2:16" x14ac:dyDescent="0.25">
      <c r="B1559" s="68"/>
      <c r="C1559" s="68"/>
      <c r="D1559" s="68"/>
      <c r="E1559" s="68"/>
      <c r="F1559" s="68"/>
      <c r="G1559" s="100"/>
      <c r="H1559" s="91"/>
      <c r="I1559" s="91"/>
      <c r="J1559" s="68"/>
      <c r="K1559" s="69"/>
      <c r="L1559" s="102"/>
      <c r="M1559" s="102"/>
      <c r="N1559" s="68"/>
      <c r="O1559" s="68"/>
      <c r="P1559" s="106"/>
    </row>
    <row r="1560" spans="2:16" x14ac:dyDescent="0.25">
      <c r="B1560" s="68"/>
      <c r="C1560" s="68"/>
      <c r="D1560" s="68"/>
      <c r="E1560" s="68"/>
      <c r="F1560" s="68"/>
      <c r="G1560" s="100"/>
      <c r="H1560" s="91"/>
      <c r="I1560" s="91"/>
      <c r="J1560" s="68"/>
      <c r="K1560" s="69"/>
      <c r="L1560" s="102"/>
      <c r="M1560" s="102"/>
      <c r="N1560" s="68"/>
      <c r="O1560" s="68"/>
      <c r="P1560" s="106"/>
    </row>
    <row r="1561" spans="2:16" x14ac:dyDescent="0.25">
      <c r="B1561" s="68"/>
      <c r="C1561" s="68"/>
      <c r="D1561" s="68"/>
      <c r="E1561" s="68"/>
      <c r="F1561" s="68"/>
      <c r="G1561" s="100"/>
      <c r="H1561" s="91"/>
      <c r="I1561" s="91"/>
      <c r="J1561" s="68"/>
      <c r="K1561" s="69"/>
      <c r="L1561" s="102"/>
      <c r="M1561" s="102"/>
      <c r="N1561" s="68"/>
      <c r="O1561" s="68"/>
      <c r="P1561" s="106"/>
    </row>
    <row r="1562" spans="2:16" x14ac:dyDescent="0.25">
      <c r="B1562" s="68"/>
      <c r="C1562" s="68"/>
      <c r="D1562" s="68"/>
      <c r="E1562" s="68"/>
      <c r="F1562" s="68"/>
      <c r="G1562" s="100"/>
      <c r="H1562" s="91"/>
      <c r="I1562" s="91"/>
      <c r="J1562" s="68"/>
      <c r="K1562" s="69"/>
      <c r="L1562" s="102"/>
      <c r="M1562" s="102"/>
      <c r="N1562" s="68"/>
      <c r="O1562" s="68"/>
      <c r="P1562" s="106"/>
    </row>
    <row r="1563" spans="2:16" x14ac:dyDescent="0.25">
      <c r="B1563" s="68"/>
      <c r="C1563" s="68"/>
      <c r="D1563" s="68"/>
      <c r="E1563" s="68"/>
      <c r="F1563" s="68"/>
      <c r="G1563" s="100"/>
      <c r="H1563" s="91"/>
      <c r="I1563" s="91"/>
      <c r="J1563" s="68"/>
      <c r="K1563" s="69"/>
      <c r="L1563" s="102"/>
      <c r="M1563" s="102"/>
      <c r="N1563" s="68"/>
      <c r="O1563" s="68"/>
      <c r="P1563" s="106"/>
    </row>
    <row r="1564" spans="2:16" x14ac:dyDescent="0.25">
      <c r="B1564" s="68"/>
      <c r="C1564" s="68"/>
      <c r="D1564" s="68"/>
      <c r="E1564" s="68"/>
      <c r="F1564" s="68"/>
      <c r="G1564" s="100"/>
      <c r="H1564" s="91"/>
      <c r="I1564" s="91"/>
      <c r="J1564" s="68"/>
      <c r="K1564" s="69"/>
      <c r="L1564" s="102"/>
      <c r="M1564" s="102"/>
      <c r="N1564" s="68"/>
      <c r="O1564" s="68"/>
      <c r="P1564" s="106"/>
    </row>
    <row r="1565" spans="2:16" x14ac:dyDescent="0.25">
      <c r="B1565" s="68"/>
      <c r="C1565" s="68"/>
      <c r="D1565" s="68"/>
      <c r="E1565" s="68"/>
      <c r="F1565" s="68"/>
      <c r="G1565" s="100"/>
      <c r="H1565" s="91"/>
      <c r="I1565" s="91"/>
      <c r="J1565" s="68"/>
      <c r="K1565" s="69"/>
      <c r="L1565" s="102"/>
      <c r="M1565" s="102"/>
      <c r="N1565" s="68"/>
      <c r="O1565" s="68"/>
      <c r="P1565" s="106"/>
    </row>
    <row r="1566" spans="2:16" x14ac:dyDescent="0.25">
      <c r="B1566" s="68"/>
      <c r="C1566" s="68"/>
      <c r="D1566" s="68"/>
      <c r="E1566" s="68"/>
      <c r="F1566" s="68"/>
      <c r="G1566" s="100"/>
      <c r="H1566" s="91"/>
      <c r="I1566" s="91"/>
      <c r="J1566" s="68"/>
      <c r="K1566" s="69"/>
      <c r="L1566" s="102"/>
      <c r="M1566" s="102"/>
      <c r="N1566" s="68"/>
      <c r="O1566" s="68"/>
      <c r="P1566" s="106"/>
    </row>
    <row r="1567" spans="2:16" x14ac:dyDescent="0.25">
      <c r="B1567" s="68"/>
      <c r="C1567" s="68"/>
      <c r="D1567" s="68"/>
      <c r="E1567" s="68"/>
      <c r="F1567" s="68"/>
      <c r="G1567" s="100"/>
      <c r="H1567" s="91"/>
      <c r="I1567" s="91"/>
      <c r="J1567" s="68"/>
      <c r="K1567" s="69"/>
      <c r="L1567" s="102"/>
      <c r="M1567" s="102"/>
      <c r="N1567" s="68"/>
      <c r="O1567" s="68"/>
      <c r="P1567" s="106"/>
    </row>
    <row r="1568" spans="2:16" x14ac:dyDescent="0.25">
      <c r="B1568" s="68"/>
      <c r="C1568" s="68"/>
      <c r="D1568" s="68"/>
      <c r="E1568" s="68"/>
      <c r="F1568" s="68"/>
      <c r="G1568" s="100"/>
      <c r="H1568" s="91"/>
      <c r="I1568" s="91"/>
      <c r="J1568" s="68"/>
      <c r="K1568" s="69"/>
      <c r="L1568" s="102"/>
      <c r="M1568" s="102"/>
      <c r="N1568" s="68"/>
      <c r="O1568" s="68"/>
      <c r="P1568" s="106"/>
    </row>
    <row r="1569" spans="2:16" x14ac:dyDescent="0.25">
      <c r="B1569" s="68"/>
      <c r="C1569" s="68"/>
      <c r="D1569" s="68"/>
      <c r="E1569" s="68"/>
      <c r="F1569" s="68"/>
      <c r="G1569" s="100"/>
      <c r="H1569" s="91"/>
      <c r="I1569" s="91"/>
      <c r="J1569" s="68"/>
      <c r="K1569" s="69"/>
      <c r="L1569" s="102"/>
      <c r="M1569" s="102"/>
      <c r="N1569" s="68"/>
      <c r="O1569" s="68"/>
      <c r="P1569" s="106"/>
    </row>
    <row r="1570" spans="2:16" x14ac:dyDescent="0.25">
      <c r="B1570" s="68"/>
      <c r="C1570" s="68"/>
      <c r="D1570" s="68"/>
      <c r="E1570" s="68"/>
      <c r="F1570" s="68"/>
      <c r="G1570" s="100"/>
      <c r="H1570" s="91"/>
      <c r="I1570" s="91"/>
      <c r="J1570" s="68"/>
      <c r="K1570" s="69"/>
      <c r="L1570" s="102"/>
      <c r="M1570" s="102"/>
      <c r="N1570" s="68"/>
      <c r="O1570" s="68"/>
      <c r="P1570" s="106"/>
    </row>
    <row r="1571" spans="2:16" x14ac:dyDescent="0.25">
      <c r="B1571" s="68"/>
      <c r="C1571" s="68"/>
      <c r="D1571" s="68"/>
      <c r="E1571" s="68"/>
      <c r="F1571" s="68"/>
      <c r="G1571" s="100"/>
      <c r="H1571" s="91"/>
      <c r="I1571" s="91"/>
      <c r="J1571" s="68"/>
      <c r="K1571" s="69"/>
      <c r="L1571" s="102"/>
      <c r="M1571" s="102"/>
      <c r="N1571" s="68"/>
      <c r="O1571" s="68"/>
      <c r="P1571" s="106"/>
    </row>
    <row r="1572" spans="2:16" x14ac:dyDescent="0.25">
      <c r="B1572" s="68"/>
      <c r="C1572" s="68"/>
      <c r="D1572" s="68"/>
      <c r="E1572" s="68"/>
      <c r="F1572" s="68"/>
      <c r="G1572" s="100"/>
      <c r="H1572" s="91"/>
      <c r="I1572" s="91"/>
      <c r="J1572" s="68"/>
      <c r="K1572" s="69"/>
      <c r="L1572" s="102"/>
      <c r="M1572" s="102"/>
      <c r="N1572" s="68"/>
      <c r="O1572" s="68"/>
      <c r="P1572" s="106"/>
    </row>
    <row r="1573" spans="2:16" x14ac:dyDescent="0.25">
      <c r="B1573" s="68"/>
      <c r="C1573" s="68"/>
      <c r="D1573" s="68"/>
      <c r="E1573" s="68"/>
      <c r="F1573" s="68"/>
      <c r="G1573" s="100"/>
      <c r="H1573" s="91"/>
      <c r="I1573" s="91"/>
      <c r="J1573" s="68"/>
      <c r="K1573" s="69"/>
      <c r="L1573" s="102"/>
      <c r="M1573" s="102"/>
      <c r="N1573" s="68"/>
      <c r="O1573" s="68"/>
      <c r="P1573" s="106"/>
    </row>
    <row r="1574" spans="2:16" x14ac:dyDescent="0.25">
      <c r="B1574" s="68"/>
      <c r="C1574" s="68"/>
      <c r="D1574" s="68"/>
      <c r="E1574" s="68"/>
      <c r="F1574" s="68"/>
      <c r="G1574" s="100"/>
      <c r="H1574" s="91"/>
      <c r="I1574" s="91"/>
      <c r="J1574" s="68"/>
      <c r="K1574" s="69"/>
      <c r="L1574" s="102"/>
      <c r="M1574" s="102"/>
      <c r="N1574" s="68"/>
      <c r="O1574" s="68"/>
      <c r="P1574" s="106"/>
    </row>
    <row r="1575" spans="2:16" x14ac:dyDescent="0.25">
      <c r="B1575" s="68"/>
      <c r="C1575" s="68"/>
      <c r="D1575" s="68"/>
      <c r="E1575" s="68"/>
      <c r="F1575" s="68"/>
      <c r="G1575" s="100"/>
      <c r="H1575" s="91"/>
      <c r="I1575" s="91"/>
      <c r="J1575" s="68"/>
      <c r="K1575" s="69"/>
      <c r="L1575" s="102"/>
      <c r="M1575" s="102"/>
      <c r="N1575" s="68"/>
      <c r="O1575" s="68"/>
      <c r="P1575" s="106"/>
    </row>
    <row r="1576" spans="2:16" x14ac:dyDescent="0.25">
      <c r="B1576" s="68"/>
      <c r="C1576" s="68"/>
      <c r="D1576" s="68"/>
      <c r="E1576" s="68"/>
      <c r="F1576" s="68"/>
      <c r="G1576" s="100"/>
      <c r="H1576" s="91"/>
      <c r="I1576" s="91"/>
      <c r="J1576" s="68"/>
      <c r="K1576" s="69"/>
      <c r="L1576" s="102"/>
      <c r="M1576" s="102"/>
      <c r="N1576" s="68"/>
      <c r="O1576" s="68"/>
      <c r="P1576" s="106"/>
    </row>
    <row r="1577" spans="2:16" x14ac:dyDescent="0.25">
      <c r="B1577" s="68"/>
      <c r="C1577" s="68"/>
      <c r="D1577" s="68"/>
      <c r="E1577" s="68"/>
      <c r="F1577" s="68"/>
      <c r="G1577" s="100"/>
      <c r="H1577" s="91"/>
      <c r="I1577" s="91"/>
      <c r="J1577" s="68"/>
      <c r="K1577" s="69"/>
      <c r="L1577" s="102"/>
      <c r="M1577" s="102"/>
      <c r="N1577" s="68"/>
      <c r="O1577" s="68"/>
      <c r="P1577" s="106"/>
    </row>
    <row r="1578" spans="2:16" x14ac:dyDescent="0.25">
      <c r="B1578" s="68"/>
      <c r="C1578" s="68"/>
      <c r="D1578" s="68"/>
      <c r="E1578" s="68"/>
      <c r="F1578" s="68"/>
      <c r="G1578" s="100"/>
      <c r="H1578" s="91"/>
      <c r="I1578" s="91"/>
      <c r="J1578" s="68"/>
      <c r="K1578" s="69"/>
      <c r="L1578" s="102"/>
      <c r="M1578" s="102"/>
      <c r="N1578" s="68"/>
      <c r="O1578" s="68"/>
      <c r="P1578" s="106"/>
    </row>
    <row r="1579" spans="2:16" x14ac:dyDescent="0.25">
      <c r="B1579" s="68"/>
      <c r="C1579" s="68"/>
      <c r="D1579" s="68"/>
      <c r="E1579" s="68"/>
      <c r="F1579" s="68"/>
      <c r="G1579" s="100"/>
      <c r="H1579" s="91"/>
      <c r="I1579" s="91"/>
      <c r="J1579" s="68"/>
      <c r="K1579" s="69"/>
      <c r="L1579" s="102"/>
      <c r="M1579" s="102"/>
      <c r="N1579" s="68"/>
      <c r="O1579" s="68"/>
      <c r="P1579" s="106"/>
    </row>
    <row r="1580" spans="2:16" x14ac:dyDescent="0.25">
      <c r="B1580" s="68"/>
      <c r="C1580" s="68"/>
      <c r="D1580" s="68"/>
      <c r="E1580" s="68"/>
      <c r="F1580" s="68"/>
      <c r="G1580" s="100"/>
      <c r="H1580" s="91"/>
      <c r="I1580" s="91"/>
      <c r="J1580" s="68"/>
      <c r="K1580" s="69"/>
      <c r="L1580" s="102"/>
      <c r="M1580" s="102"/>
      <c r="N1580" s="68"/>
      <c r="O1580" s="68"/>
      <c r="P1580" s="106"/>
    </row>
    <row r="1581" spans="2:16" x14ac:dyDescent="0.25">
      <c r="B1581" s="68"/>
      <c r="C1581" s="68"/>
      <c r="D1581" s="68"/>
      <c r="E1581" s="68"/>
      <c r="F1581" s="68"/>
      <c r="G1581" s="100"/>
      <c r="H1581" s="91"/>
      <c r="I1581" s="91"/>
      <c r="J1581" s="68"/>
      <c r="K1581" s="69"/>
      <c r="L1581" s="102"/>
      <c r="M1581" s="102"/>
      <c r="N1581" s="68"/>
      <c r="O1581" s="68"/>
      <c r="P1581" s="106"/>
    </row>
    <row r="1582" spans="2:16" x14ac:dyDescent="0.25">
      <c r="B1582" s="68"/>
      <c r="C1582" s="68"/>
      <c r="D1582" s="68"/>
      <c r="E1582" s="68"/>
      <c r="F1582" s="68"/>
      <c r="G1582" s="100"/>
      <c r="H1582" s="91"/>
      <c r="I1582" s="91"/>
      <c r="J1582" s="68"/>
      <c r="K1582" s="69"/>
      <c r="L1582" s="102"/>
      <c r="M1582" s="102"/>
      <c r="N1582" s="68"/>
      <c r="O1582" s="68"/>
      <c r="P1582" s="106"/>
    </row>
    <row r="1583" spans="2:16" x14ac:dyDescent="0.25">
      <c r="B1583" s="68"/>
      <c r="C1583" s="68"/>
      <c r="D1583" s="68"/>
      <c r="E1583" s="68"/>
      <c r="F1583" s="68"/>
      <c r="G1583" s="100"/>
      <c r="H1583" s="91"/>
      <c r="I1583" s="91"/>
      <c r="J1583" s="68"/>
      <c r="K1583" s="69"/>
      <c r="L1583" s="102"/>
      <c r="M1583" s="102"/>
      <c r="N1583" s="68"/>
      <c r="O1583" s="68"/>
      <c r="P1583" s="106"/>
    </row>
    <row r="1584" spans="2:16" x14ac:dyDescent="0.25">
      <c r="B1584" s="68"/>
      <c r="C1584" s="68"/>
      <c r="D1584" s="68"/>
      <c r="E1584" s="68"/>
      <c r="F1584" s="68"/>
      <c r="G1584" s="100"/>
      <c r="H1584" s="91"/>
      <c r="I1584" s="91"/>
      <c r="J1584" s="68"/>
      <c r="K1584" s="69"/>
      <c r="L1584" s="102"/>
      <c r="M1584" s="102"/>
      <c r="N1584" s="68"/>
      <c r="O1584" s="68"/>
      <c r="P1584" s="106"/>
    </row>
    <row r="1585" spans="2:16" x14ac:dyDescent="0.25">
      <c r="B1585" s="68"/>
      <c r="C1585" s="68"/>
      <c r="D1585" s="68"/>
      <c r="E1585" s="68"/>
      <c r="F1585" s="68"/>
      <c r="G1585" s="100"/>
      <c r="H1585" s="91"/>
      <c r="I1585" s="91"/>
      <c r="J1585" s="68"/>
      <c r="K1585" s="69"/>
      <c r="L1585" s="102"/>
      <c r="M1585" s="102"/>
      <c r="N1585" s="68"/>
      <c r="O1585" s="68"/>
      <c r="P1585" s="106"/>
    </row>
    <row r="1586" spans="2:16" x14ac:dyDescent="0.25">
      <c r="B1586" s="68"/>
      <c r="C1586" s="68"/>
      <c r="D1586" s="68"/>
      <c r="E1586" s="68"/>
      <c r="F1586" s="68"/>
      <c r="G1586" s="100"/>
      <c r="H1586" s="91"/>
      <c r="I1586" s="91"/>
      <c r="J1586" s="68"/>
      <c r="K1586" s="69"/>
      <c r="L1586" s="102"/>
      <c r="M1586" s="102"/>
      <c r="N1586" s="68"/>
      <c r="O1586" s="68"/>
      <c r="P1586" s="106"/>
    </row>
    <row r="1587" spans="2:16" x14ac:dyDescent="0.25">
      <c r="B1587" s="68"/>
      <c r="C1587" s="68"/>
      <c r="D1587" s="68"/>
      <c r="E1587" s="68"/>
      <c r="F1587" s="68"/>
      <c r="G1587" s="100"/>
      <c r="H1587" s="91"/>
      <c r="I1587" s="91"/>
      <c r="J1587" s="68"/>
      <c r="K1587" s="69"/>
      <c r="L1587" s="102"/>
      <c r="M1587" s="102"/>
      <c r="N1587" s="68"/>
      <c r="O1587" s="68"/>
      <c r="P1587" s="106"/>
    </row>
    <row r="1588" spans="2:16" x14ac:dyDescent="0.25">
      <c r="B1588" s="68"/>
      <c r="C1588" s="68"/>
      <c r="D1588" s="68"/>
      <c r="E1588" s="68"/>
      <c r="F1588" s="68"/>
      <c r="G1588" s="100"/>
      <c r="H1588" s="91"/>
      <c r="I1588" s="91"/>
      <c r="J1588" s="68"/>
      <c r="K1588" s="69"/>
      <c r="L1588" s="102"/>
      <c r="M1588" s="102"/>
      <c r="N1588" s="68"/>
      <c r="O1588" s="68"/>
      <c r="P1588" s="106"/>
    </row>
    <row r="1589" spans="2:16" x14ac:dyDescent="0.25">
      <c r="B1589" s="68"/>
      <c r="C1589" s="68"/>
      <c r="D1589" s="68"/>
      <c r="E1589" s="68"/>
      <c r="F1589" s="68"/>
      <c r="G1589" s="100"/>
      <c r="H1589" s="91"/>
      <c r="I1589" s="91"/>
      <c r="J1589" s="68"/>
      <c r="K1589" s="69"/>
      <c r="L1589" s="102"/>
      <c r="M1589" s="102"/>
      <c r="N1589" s="68"/>
      <c r="O1589" s="68"/>
      <c r="P1589" s="106"/>
    </row>
    <row r="1590" spans="2:16" x14ac:dyDescent="0.25">
      <c r="B1590" s="68"/>
      <c r="C1590" s="68"/>
      <c r="D1590" s="68"/>
      <c r="E1590" s="68"/>
      <c r="F1590" s="68"/>
      <c r="G1590" s="100"/>
      <c r="H1590" s="91"/>
      <c r="I1590" s="91"/>
      <c r="J1590" s="68"/>
      <c r="K1590" s="69"/>
      <c r="L1590" s="102"/>
      <c r="M1590" s="102"/>
      <c r="N1590" s="68"/>
      <c r="O1590" s="68"/>
      <c r="P1590" s="106"/>
    </row>
    <row r="1591" spans="2:16" x14ac:dyDescent="0.25">
      <c r="B1591" s="68"/>
      <c r="C1591" s="68"/>
      <c r="D1591" s="68"/>
      <c r="E1591" s="68"/>
      <c r="F1591" s="68"/>
      <c r="G1591" s="100"/>
      <c r="H1591" s="91"/>
      <c r="I1591" s="91"/>
      <c r="J1591" s="68"/>
      <c r="K1591" s="69"/>
      <c r="L1591" s="102"/>
      <c r="M1591" s="102"/>
      <c r="N1591" s="68"/>
      <c r="O1591" s="68"/>
      <c r="P1591" s="106"/>
    </row>
    <row r="1592" spans="2:16" x14ac:dyDescent="0.25">
      <c r="B1592" s="68"/>
      <c r="C1592" s="68"/>
      <c r="D1592" s="68"/>
      <c r="E1592" s="68"/>
      <c r="F1592" s="68"/>
      <c r="G1592" s="100"/>
      <c r="H1592" s="91"/>
      <c r="I1592" s="91"/>
      <c r="J1592" s="68"/>
      <c r="K1592" s="69"/>
      <c r="L1592" s="102"/>
      <c r="M1592" s="102"/>
      <c r="N1592" s="68"/>
      <c r="O1592" s="68"/>
      <c r="P1592" s="106"/>
    </row>
    <row r="1593" spans="2:16" x14ac:dyDescent="0.25">
      <c r="B1593" s="68"/>
      <c r="C1593" s="68"/>
      <c r="D1593" s="68"/>
      <c r="E1593" s="68"/>
      <c r="F1593" s="68"/>
      <c r="G1593" s="100"/>
      <c r="H1593" s="91"/>
      <c r="I1593" s="91"/>
      <c r="J1593" s="68"/>
      <c r="K1593" s="69"/>
      <c r="L1593" s="102"/>
      <c r="M1593" s="102"/>
      <c r="N1593" s="68"/>
      <c r="O1593" s="68"/>
      <c r="P1593" s="106"/>
    </row>
    <row r="1594" spans="2:16" x14ac:dyDescent="0.25">
      <c r="B1594" s="68"/>
      <c r="C1594" s="68"/>
      <c r="D1594" s="68"/>
      <c r="E1594" s="68"/>
      <c r="F1594" s="68"/>
      <c r="G1594" s="100"/>
      <c r="H1594" s="91"/>
      <c r="I1594" s="91"/>
      <c r="J1594" s="68"/>
      <c r="K1594" s="69"/>
      <c r="L1594" s="102"/>
      <c r="M1594" s="102"/>
      <c r="N1594" s="68"/>
      <c r="O1594" s="68"/>
      <c r="P1594" s="106"/>
    </row>
    <row r="1595" spans="2:16" x14ac:dyDescent="0.25">
      <c r="B1595" s="68"/>
      <c r="C1595" s="68"/>
      <c r="D1595" s="68"/>
      <c r="E1595" s="68"/>
      <c r="F1595" s="68"/>
      <c r="G1595" s="100"/>
      <c r="H1595" s="91"/>
      <c r="I1595" s="91"/>
      <c r="J1595" s="68"/>
      <c r="K1595" s="69"/>
      <c r="L1595" s="102"/>
      <c r="M1595" s="102"/>
      <c r="N1595" s="68"/>
      <c r="O1595" s="68"/>
      <c r="P1595" s="106"/>
    </row>
    <row r="1596" spans="2:16" x14ac:dyDescent="0.25">
      <c r="B1596" s="68"/>
      <c r="C1596" s="68"/>
      <c r="D1596" s="68"/>
      <c r="E1596" s="68"/>
      <c r="F1596" s="68"/>
      <c r="G1596" s="100"/>
      <c r="H1596" s="91"/>
      <c r="I1596" s="91"/>
      <c r="J1596" s="68"/>
      <c r="K1596" s="69"/>
      <c r="L1596" s="102"/>
      <c r="M1596" s="102"/>
      <c r="N1596" s="68"/>
      <c r="O1596" s="68"/>
      <c r="P1596" s="106"/>
    </row>
    <row r="1597" spans="2:16" x14ac:dyDescent="0.25">
      <c r="B1597" s="68"/>
      <c r="C1597" s="68"/>
      <c r="D1597" s="68"/>
      <c r="E1597" s="68"/>
      <c r="F1597" s="68"/>
      <c r="G1597" s="100"/>
      <c r="H1597" s="91"/>
      <c r="I1597" s="91"/>
      <c r="J1597" s="68"/>
      <c r="K1597" s="69"/>
      <c r="L1597" s="102"/>
      <c r="M1597" s="102"/>
      <c r="N1597" s="68"/>
      <c r="O1597" s="68"/>
      <c r="P1597" s="106"/>
    </row>
    <row r="1598" spans="2:16" x14ac:dyDescent="0.25">
      <c r="B1598" s="68"/>
      <c r="C1598" s="68"/>
      <c r="D1598" s="68"/>
      <c r="E1598" s="68"/>
      <c r="F1598" s="68"/>
      <c r="G1598" s="100"/>
      <c r="H1598" s="91"/>
      <c r="I1598" s="91"/>
      <c r="J1598" s="68"/>
      <c r="K1598" s="69"/>
      <c r="L1598" s="102"/>
      <c r="M1598" s="102"/>
      <c r="N1598" s="68"/>
      <c r="O1598" s="68"/>
      <c r="P1598" s="106"/>
    </row>
    <row r="1599" spans="2:16" x14ac:dyDescent="0.25">
      <c r="B1599" s="68"/>
      <c r="C1599" s="68"/>
      <c r="D1599" s="68"/>
      <c r="E1599" s="68"/>
      <c r="F1599" s="68"/>
      <c r="G1599" s="100"/>
      <c r="H1599" s="91"/>
      <c r="I1599" s="91"/>
      <c r="J1599" s="68"/>
      <c r="K1599" s="69"/>
      <c r="L1599" s="102"/>
      <c r="M1599" s="102"/>
      <c r="N1599" s="68"/>
      <c r="O1599" s="68"/>
      <c r="P1599" s="106"/>
    </row>
    <row r="1600" spans="2:16" x14ac:dyDescent="0.25">
      <c r="B1600" s="68"/>
      <c r="C1600" s="68"/>
      <c r="D1600" s="68"/>
      <c r="E1600" s="68"/>
      <c r="F1600" s="68"/>
      <c r="G1600" s="100"/>
      <c r="H1600" s="91"/>
      <c r="I1600" s="91"/>
      <c r="J1600" s="68"/>
      <c r="K1600" s="69"/>
      <c r="L1600" s="102"/>
      <c r="M1600" s="102"/>
      <c r="N1600" s="68"/>
      <c r="O1600" s="68"/>
      <c r="P1600" s="106"/>
    </row>
    <row r="1601" spans="2:16" x14ac:dyDescent="0.25">
      <c r="B1601" s="68"/>
      <c r="C1601" s="68"/>
      <c r="D1601" s="68"/>
      <c r="E1601" s="68"/>
      <c r="F1601" s="68"/>
      <c r="G1601" s="100"/>
      <c r="H1601" s="91"/>
      <c r="I1601" s="91"/>
      <c r="J1601" s="68"/>
      <c r="K1601" s="69"/>
      <c r="L1601" s="102"/>
      <c r="M1601" s="102"/>
      <c r="N1601" s="68"/>
      <c r="O1601" s="68"/>
      <c r="P1601" s="106"/>
    </row>
    <row r="1602" spans="2:16" x14ac:dyDescent="0.25">
      <c r="B1602" s="68"/>
      <c r="C1602" s="68"/>
      <c r="D1602" s="68"/>
      <c r="E1602" s="68"/>
      <c r="F1602" s="68"/>
      <c r="G1602" s="100"/>
      <c r="H1602" s="91"/>
      <c r="I1602" s="91"/>
      <c r="J1602" s="68"/>
      <c r="K1602" s="69"/>
      <c r="L1602" s="102"/>
      <c r="M1602" s="102"/>
      <c r="N1602" s="68"/>
      <c r="O1602" s="68"/>
      <c r="P1602" s="106"/>
    </row>
    <row r="1603" spans="2:16" x14ac:dyDescent="0.25">
      <c r="B1603" s="68"/>
      <c r="C1603" s="68"/>
      <c r="D1603" s="68"/>
      <c r="E1603" s="68"/>
      <c r="F1603" s="68"/>
      <c r="G1603" s="100"/>
      <c r="H1603" s="91"/>
      <c r="I1603" s="91"/>
      <c r="J1603" s="68"/>
      <c r="K1603" s="69"/>
      <c r="L1603" s="102"/>
      <c r="M1603" s="102"/>
      <c r="N1603" s="68"/>
      <c r="O1603" s="68"/>
      <c r="P1603" s="106"/>
    </row>
    <row r="1604" spans="2:16" x14ac:dyDescent="0.25">
      <c r="B1604" s="68"/>
      <c r="C1604" s="68"/>
      <c r="D1604" s="68"/>
      <c r="E1604" s="68"/>
      <c r="F1604" s="68"/>
      <c r="G1604" s="100"/>
      <c r="H1604" s="91"/>
      <c r="I1604" s="91"/>
      <c r="J1604" s="68"/>
      <c r="K1604" s="69"/>
      <c r="L1604" s="102"/>
      <c r="M1604" s="102"/>
      <c r="N1604" s="68"/>
      <c r="O1604" s="68"/>
      <c r="P1604" s="106"/>
    </row>
    <row r="1605" spans="2:16" x14ac:dyDescent="0.25">
      <c r="B1605" s="68"/>
      <c r="C1605" s="68"/>
      <c r="D1605" s="68"/>
      <c r="E1605" s="68"/>
      <c r="F1605" s="68"/>
      <c r="G1605" s="100"/>
      <c r="H1605" s="91"/>
      <c r="I1605" s="91"/>
      <c r="J1605" s="68"/>
      <c r="K1605" s="69"/>
      <c r="L1605" s="102"/>
      <c r="M1605" s="102"/>
      <c r="N1605" s="68"/>
      <c r="O1605" s="68"/>
      <c r="P1605" s="106"/>
    </row>
    <row r="1606" spans="2:16" x14ac:dyDescent="0.25">
      <c r="B1606" s="68"/>
      <c r="C1606" s="68"/>
      <c r="D1606" s="68"/>
      <c r="E1606" s="68"/>
      <c r="F1606" s="68"/>
      <c r="G1606" s="100"/>
      <c r="H1606" s="91"/>
      <c r="I1606" s="91"/>
      <c r="J1606" s="68"/>
      <c r="K1606" s="69"/>
      <c r="L1606" s="102"/>
      <c r="M1606" s="102"/>
      <c r="N1606" s="68"/>
      <c r="O1606" s="68"/>
      <c r="P1606" s="106"/>
    </row>
    <row r="1607" spans="2:16" x14ac:dyDescent="0.25">
      <c r="B1607" s="68"/>
      <c r="C1607" s="68"/>
      <c r="D1607" s="68"/>
      <c r="E1607" s="68"/>
      <c r="F1607" s="68"/>
      <c r="G1607" s="100"/>
      <c r="H1607" s="91"/>
      <c r="I1607" s="91"/>
      <c r="J1607" s="68"/>
      <c r="K1607" s="69"/>
      <c r="L1607" s="102"/>
      <c r="M1607" s="102"/>
      <c r="N1607" s="68"/>
      <c r="O1607" s="68"/>
      <c r="P1607" s="106"/>
    </row>
    <row r="1608" spans="2:16" x14ac:dyDescent="0.25">
      <c r="B1608" s="68"/>
      <c r="C1608" s="68"/>
      <c r="D1608" s="68"/>
      <c r="E1608" s="68"/>
      <c r="F1608" s="68"/>
      <c r="G1608" s="100"/>
      <c r="H1608" s="91"/>
      <c r="I1608" s="91"/>
      <c r="J1608" s="68"/>
      <c r="K1608" s="69"/>
      <c r="L1608" s="102"/>
      <c r="M1608" s="102"/>
      <c r="N1608" s="68"/>
      <c r="O1608" s="68"/>
      <c r="P1608" s="106"/>
    </row>
    <row r="1609" spans="2:16" x14ac:dyDescent="0.25">
      <c r="B1609" s="68"/>
      <c r="C1609" s="68"/>
      <c r="D1609" s="68"/>
      <c r="E1609" s="68"/>
      <c r="F1609" s="68"/>
      <c r="G1609" s="100"/>
      <c r="H1609" s="91"/>
      <c r="I1609" s="91"/>
      <c r="J1609" s="68"/>
      <c r="K1609" s="69"/>
      <c r="L1609" s="102"/>
      <c r="M1609" s="102"/>
      <c r="N1609" s="68"/>
      <c r="O1609" s="68"/>
      <c r="P1609" s="106"/>
    </row>
    <row r="1610" spans="2:16" x14ac:dyDescent="0.25">
      <c r="B1610" s="68"/>
      <c r="C1610" s="68"/>
      <c r="D1610" s="68"/>
      <c r="E1610" s="68"/>
      <c r="F1610" s="68"/>
      <c r="G1610" s="100"/>
      <c r="H1610" s="91"/>
      <c r="I1610" s="91"/>
      <c r="J1610" s="68"/>
      <c r="K1610" s="69"/>
      <c r="L1610" s="102"/>
      <c r="M1610" s="102"/>
      <c r="N1610" s="68"/>
      <c r="O1610" s="68"/>
      <c r="P1610" s="106"/>
    </row>
    <row r="1611" spans="2:16" x14ac:dyDescent="0.25">
      <c r="B1611" s="68"/>
      <c r="C1611" s="68"/>
      <c r="D1611" s="68"/>
      <c r="E1611" s="68"/>
      <c r="F1611" s="68"/>
      <c r="G1611" s="100"/>
      <c r="H1611" s="91"/>
      <c r="I1611" s="91"/>
      <c r="J1611" s="68"/>
      <c r="K1611" s="69"/>
      <c r="L1611" s="102"/>
      <c r="M1611" s="102"/>
      <c r="N1611" s="68"/>
      <c r="O1611" s="68"/>
      <c r="P1611" s="106"/>
    </row>
    <row r="1612" spans="2:16" x14ac:dyDescent="0.25">
      <c r="B1612" s="68"/>
      <c r="C1612" s="68"/>
      <c r="D1612" s="68"/>
      <c r="E1612" s="68"/>
      <c r="F1612" s="68"/>
      <c r="G1612" s="100"/>
      <c r="H1612" s="91"/>
      <c r="I1612" s="91"/>
      <c r="J1612" s="68"/>
      <c r="K1612" s="69"/>
      <c r="L1612" s="102"/>
      <c r="M1612" s="102"/>
      <c r="N1612" s="68"/>
      <c r="O1612" s="68"/>
      <c r="P1612" s="106"/>
    </row>
    <row r="1613" spans="2:16" x14ac:dyDescent="0.25">
      <c r="B1613" s="68"/>
      <c r="C1613" s="68"/>
      <c r="D1613" s="68"/>
      <c r="E1613" s="68"/>
      <c r="F1613" s="68"/>
      <c r="G1613" s="100"/>
      <c r="H1613" s="91"/>
      <c r="I1613" s="91"/>
      <c r="J1613" s="68"/>
      <c r="K1613" s="69"/>
      <c r="L1613" s="102"/>
      <c r="M1613" s="102"/>
      <c r="N1613" s="68"/>
      <c r="O1613" s="68"/>
      <c r="P1613" s="106"/>
    </row>
    <row r="1614" spans="2:16" x14ac:dyDescent="0.25">
      <c r="B1614" s="68"/>
      <c r="C1614" s="68"/>
      <c r="D1614" s="68"/>
      <c r="E1614" s="68"/>
      <c r="F1614" s="68"/>
      <c r="G1614" s="100"/>
      <c r="H1614" s="91"/>
      <c r="I1614" s="91"/>
      <c r="J1614" s="68"/>
      <c r="K1614" s="69"/>
      <c r="L1614" s="102"/>
      <c r="M1614" s="102"/>
      <c r="N1614" s="68"/>
      <c r="O1614" s="68"/>
      <c r="P1614" s="106"/>
    </row>
    <row r="1615" spans="2:16" x14ac:dyDescent="0.25">
      <c r="B1615" s="68"/>
      <c r="C1615" s="68"/>
      <c r="D1615" s="68"/>
      <c r="E1615" s="68"/>
      <c r="F1615" s="68"/>
      <c r="G1615" s="100"/>
      <c r="H1615" s="91"/>
      <c r="I1615" s="91"/>
      <c r="J1615" s="68"/>
      <c r="K1615" s="69"/>
      <c r="L1615" s="102"/>
      <c r="M1615" s="102"/>
      <c r="N1615" s="68"/>
      <c r="O1615" s="68"/>
      <c r="P1615" s="106"/>
    </row>
    <row r="1616" spans="2:16" x14ac:dyDescent="0.25">
      <c r="B1616" s="68"/>
      <c r="C1616" s="68"/>
      <c r="D1616" s="68"/>
      <c r="E1616" s="68"/>
      <c r="F1616" s="68"/>
      <c r="G1616" s="100"/>
      <c r="H1616" s="91"/>
      <c r="I1616" s="91"/>
      <c r="J1616" s="68"/>
      <c r="K1616" s="69"/>
      <c r="L1616" s="102"/>
      <c r="M1616" s="102"/>
      <c r="N1616" s="68"/>
      <c r="O1616" s="68"/>
      <c r="P1616" s="106"/>
    </row>
    <row r="1617" spans="2:16" x14ac:dyDescent="0.25">
      <c r="B1617" s="68"/>
      <c r="C1617" s="68"/>
      <c r="D1617" s="68"/>
      <c r="E1617" s="68"/>
      <c r="F1617" s="68"/>
      <c r="G1617" s="100"/>
      <c r="H1617" s="91"/>
      <c r="I1617" s="91"/>
      <c r="J1617" s="68"/>
      <c r="K1617" s="69"/>
      <c r="L1617" s="102"/>
      <c r="M1617" s="102"/>
      <c r="N1617" s="68"/>
      <c r="O1617" s="68"/>
      <c r="P1617" s="106"/>
    </row>
    <row r="1618" spans="2:16" x14ac:dyDescent="0.25">
      <c r="B1618" s="68"/>
      <c r="C1618" s="68"/>
      <c r="D1618" s="68"/>
      <c r="E1618" s="68"/>
      <c r="F1618" s="68"/>
      <c r="G1618" s="100"/>
      <c r="H1618" s="91"/>
      <c r="I1618" s="91"/>
      <c r="J1618" s="68"/>
      <c r="K1618" s="69"/>
      <c r="L1618" s="102"/>
      <c r="M1618" s="102"/>
      <c r="N1618" s="68"/>
      <c r="O1618" s="68"/>
      <c r="P1618" s="106"/>
    </row>
    <row r="1619" spans="2:16" x14ac:dyDescent="0.25">
      <c r="B1619" s="68"/>
      <c r="C1619" s="68"/>
      <c r="D1619" s="68"/>
      <c r="E1619" s="68"/>
      <c r="F1619" s="68"/>
      <c r="G1619" s="100"/>
      <c r="H1619" s="91"/>
      <c r="I1619" s="91"/>
      <c r="J1619" s="68"/>
      <c r="K1619" s="69"/>
      <c r="L1619" s="102"/>
      <c r="M1619" s="102"/>
      <c r="N1619" s="68"/>
      <c r="O1619" s="68"/>
      <c r="P1619" s="106"/>
    </row>
    <row r="1620" spans="2:16" x14ac:dyDescent="0.25">
      <c r="B1620" s="68"/>
      <c r="C1620" s="68"/>
      <c r="D1620" s="68"/>
      <c r="E1620" s="68"/>
      <c r="F1620" s="68"/>
      <c r="G1620" s="100"/>
      <c r="H1620" s="91"/>
      <c r="I1620" s="91"/>
      <c r="J1620" s="68"/>
      <c r="K1620" s="69"/>
      <c r="L1620" s="102"/>
      <c r="M1620" s="102"/>
      <c r="N1620" s="68"/>
      <c r="O1620" s="68"/>
      <c r="P1620" s="106"/>
    </row>
    <row r="1621" spans="2:16" x14ac:dyDescent="0.25">
      <c r="B1621" s="68"/>
      <c r="C1621" s="68"/>
      <c r="D1621" s="68"/>
      <c r="E1621" s="68"/>
      <c r="F1621" s="68"/>
      <c r="G1621" s="100"/>
      <c r="H1621" s="91"/>
      <c r="I1621" s="91"/>
      <c r="J1621" s="68"/>
      <c r="K1621" s="69"/>
      <c r="L1621" s="102"/>
      <c r="M1621" s="102"/>
      <c r="N1621" s="68"/>
      <c r="O1621" s="68"/>
      <c r="P1621" s="106"/>
    </row>
    <row r="1622" spans="2:16" x14ac:dyDescent="0.25">
      <c r="B1622" s="68"/>
      <c r="C1622" s="68"/>
      <c r="D1622" s="68"/>
      <c r="E1622" s="68"/>
      <c r="F1622" s="68"/>
      <c r="G1622" s="100"/>
      <c r="H1622" s="91"/>
      <c r="I1622" s="91"/>
      <c r="J1622" s="68"/>
      <c r="K1622" s="69"/>
      <c r="L1622" s="102"/>
      <c r="M1622" s="102"/>
      <c r="N1622" s="68"/>
      <c r="O1622" s="68"/>
      <c r="P1622" s="106"/>
    </row>
    <row r="1623" spans="2:16" x14ac:dyDescent="0.25">
      <c r="B1623" s="68"/>
      <c r="C1623" s="68"/>
      <c r="D1623" s="68"/>
      <c r="E1623" s="68"/>
      <c r="F1623" s="68"/>
      <c r="G1623" s="100"/>
      <c r="H1623" s="91"/>
      <c r="I1623" s="91"/>
      <c r="J1623" s="68"/>
      <c r="K1623" s="69"/>
      <c r="L1623" s="102"/>
      <c r="M1623" s="102"/>
      <c r="N1623" s="68"/>
      <c r="O1623" s="68"/>
      <c r="P1623" s="106"/>
    </row>
    <row r="1624" spans="2:16" x14ac:dyDescent="0.25">
      <c r="B1624" s="68"/>
      <c r="C1624" s="68"/>
      <c r="D1624" s="68"/>
      <c r="E1624" s="68"/>
      <c r="F1624" s="68"/>
      <c r="G1624" s="100"/>
      <c r="H1624" s="91"/>
      <c r="I1624" s="91"/>
      <c r="J1624" s="68"/>
      <c r="K1624" s="69"/>
      <c r="L1624" s="102"/>
      <c r="M1624" s="102"/>
      <c r="N1624" s="68"/>
      <c r="O1624" s="68"/>
      <c r="P1624" s="106"/>
    </row>
    <row r="1625" spans="2:16" x14ac:dyDescent="0.25">
      <c r="B1625" s="68"/>
      <c r="C1625" s="68"/>
      <c r="D1625" s="68"/>
      <c r="E1625" s="68"/>
      <c r="F1625" s="68"/>
      <c r="G1625" s="100"/>
      <c r="H1625" s="91"/>
      <c r="I1625" s="91"/>
      <c r="J1625" s="68"/>
      <c r="K1625" s="69"/>
      <c r="L1625" s="102"/>
      <c r="M1625" s="102"/>
      <c r="N1625" s="68"/>
      <c r="O1625" s="68"/>
      <c r="P1625" s="106"/>
    </row>
    <row r="1626" spans="2:16" x14ac:dyDescent="0.25">
      <c r="B1626" s="68"/>
      <c r="C1626" s="68"/>
      <c r="D1626" s="68"/>
      <c r="E1626" s="68"/>
      <c r="F1626" s="68"/>
      <c r="G1626" s="100"/>
      <c r="H1626" s="91"/>
      <c r="I1626" s="91"/>
      <c r="J1626" s="68"/>
      <c r="K1626" s="69"/>
      <c r="L1626" s="102"/>
      <c r="M1626" s="102"/>
      <c r="N1626" s="68"/>
      <c r="O1626" s="68"/>
      <c r="P1626" s="106"/>
    </row>
    <row r="1627" spans="2:16" x14ac:dyDescent="0.25">
      <c r="B1627" s="68"/>
      <c r="C1627" s="68"/>
      <c r="D1627" s="68"/>
      <c r="E1627" s="68"/>
      <c r="F1627" s="68"/>
      <c r="G1627" s="100"/>
      <c r="H1627" s="91"/>
      <c r="I1627" s="91"/>
      <c r="J1627" s="68"/>
      <c r="K1627" s="69"/>
      <c r="L1627" s="102"/>
      <c r="M1627" s="102"/>
      <c r="N1627" s="68"/>
      <c r="O1627" s="68"/>
      <c r="P1627" s="106"/>
    </row>
    <row r="1628" spans="2:16" x14ac:dyDescent="0.25">
      <c r="B1628" s="68"/>
      <c r="C1628" s="68"/>
      <c r="D1628" s="68"/>
      <c r="E1628" s="68"/>
      <c r="F1628" s="68"/>
      <c r="G1628" s="100"/>
      <c r="H1628" s="91"/>
      <c r="I1628" s="91"/>
      <c r="J1628" s="68"/>
      <c r="K1628" s="69"/>
      <c r="L1628" s="102"/>
      <c r="M1628" s="102"/>
      <c r="N1628" s="68"/>
      <c r="O1628" s="68"/>
      <c r="P1628" s="106"/>
    </row>
    <row r="1629" spans="2:16" x14ac:dyDescent="0.25">
      <c r="B1629" s="68"/>
      <c r="C1629" s="68"/>
      <c r="D1629" s="68"/>
      <c r="E1629" s="68"/>
      <c r="F1629" s="68"/>
      <c r="G1629" s="100"/>
      <c r="H1629" s="91"/>
      <c r="I1629" s="91"/>
      <c r="J1629" s="68"/>
      <c r="K1629" s="69"/>
      <c r="L1629" s="102"/>
      <c r="M1629" s="102"/>
      <c r="N1629" s="68"/>
      <c r="O1629" s="68"/>
      <c r="P1629" s="106"/>
    </row>
    <row r="1630" spans="2:16" x14ac:dyDescent="0.25">
      <c r="B1630" s="68"/>
      <c r="C1630" s="68"/>
      <c r="D1630" s="68"/>
      <c r="E1630" s="68"/>
      <c r="F1630" s="68"/>
      <c r="G1630" s="100"/>
      <c r="H1630" s="91"/>
      <c r="I1630" s="91"/>
      <c r="J1630" s="68"/>
      <c r="K1630" s="69"/>
      <c r="L1630" s="102"/>
      <c r="M1630" s="102"/>
      <c r="N1630" s="68"/>
      <c r="O1630" s="68"/>
      <c r="P1630" s="106"/>
    </row>
    <row r="1631" spans="2:16" x14ac:dyDescent="0.25">
      <c r="B1631" s="68"/>
      <c r="C1631" s="68"/>
      <c r="D1631" s="68"/>
      <c r="E1631" s="68"/>
      <c r="F1631" s="68"/>
      <c r="G1631" s="100"/>
      <c r="H1631" s="91"/>
      <c r="I1631" s="91"/>
      <c r="J1631" s="68"/>
      <c r="K1631" s="69"/>
      <c r="L1631" s="102"/>
      <c r="M1631" s="102"/>
      <c r="N1631" s="68"/>
      <c r="O1631" s="68"/>
      <c r="P1631" s="106"/>
    </row>
    <row r="1632" spans="2:16" x14ac:dyDescent="0.25">
      <c r="B1632" s="68"/>
      <c r="C1632" s="68"/>
      <c r="D1632" s="68"/>
      <c r="E1632" s="68"/>
      <c r="F1632" s="68"/>
      <c r="G1632" s="100"/>
      <c r="H1632" s="91"/>
      <c r="I1632" s="91"/>
      <c r="J1632" s="68"/>
      <c r="K1632" s="69"/>
      <c r="L1632" s="102"/>
      <c r="M1632" s="102"/>
      <c r="N1632" s="68"/>
      <c r="O1632" s="68"/>
      <c r="P1632" s="106"/>
    </row>
    <row r="1633" spans="2:16" x14ac:dyDescent="0.25">
      <c r="B1633" s="68"/>
      <c r="C1633" s="68"/>
      <c r="D1633" s="68"/>
      <c r="E1633" s="68"/>
      <c r="F1633" s="68"/>
      <c r="G1633" s="100"/>
      <c r="H1633" s="91"/>
      <c r="I1633" s="91"/>
      <c r="J1633" s="68"/>
      <c r="K1633" s="69"/>
      <c r="L1633" s="102"/>
      <c r="M1633" s="102"/>
      <c r="N1633" s="68"/>
      <c r="O1633" s="68"/>
      <c r="P1633" s="106"/>
    </row>
    <row r="1634" spans="2:16" x14ac:dyDescent="0.25">
      <c r="B1634" s="68"/>
      <c r="C1634" s="68"/>
      <c r="D1634" s="68"/>
      <c r="E1634" s="68"/>
      <c r="F1634" s="68"/>
      <c r="G1634" s="100"/>
      <c r="H1634" s="91"/>
      <c r="I1634" s="91"/>
      <c r="J1634" s="68"/>
      <c r="K1634" s="69"/>
      <c r="L1634" s="102"/>
      <c r="M1634" s="102"/>
      <c r="N1634" s="68"/>
      <c r="O1634" s="68"/>
      <c r="P1634" s="106"/>
    </row>
    <row r="1635" spans="2:16" x14ac:dyDescent="0.25">
      <c r="B1635" s="68"/>
      <c r="C1635" s="68"/>
      <c r="D1635" s="68"/>
      <c r="E1635" s="68"/>
      <c r="F1635" s="68"/>
      <c r="G1635" s="100"/>
      <c r="H1635" s="91"/>
      <c r="I1635" s="91"/>
      <c r="J1635" s="68"/>
      <c r="K1635" s="69"/>
      <c r="L1635" s="102"/>
      <c r="M1635" s="102"/>
      <c r="N1635" s="68"/>
      <c r="O1635" s="68"/>
      <c r="P1635" s="106"/>
    </row>
    <row r="1636" spans="2:16" x14ac:dyDescent="0.25">
      <c r="B1636" s="68"/>
      <c r="C1636" s="68"/>
      <c r="D1636" s="68"/>
      <c r="E1636" s="68"/>
      <c r="F1636" s="68"/>
      <c r="G1636" s="100"/>
      <c r="H1636" s="91"/>
      <c r="I1636" s="91"/>
      <c r="J1636" s="68"/>
      <c r="K1636" s="69"/>
      <c r="L1636" s="102"/>
      <c r="M1636" s="102"/>
      <c r="N1636" s="68"/>
      <c r="O1636" s="68"/>
      <c r="P1636" s="106"/>
    </row>
    <row r="1637" spans="2:16" x14ac:dyDescent="0.25">
      <c r="B1637" s="68"/>
      <c r="C1637" s="68"/>
      <c r="D1637" s="68"/>
      <c r="E1637" s="68"/>
      <c r="F1637" s="68"/>
      <c r="G1637" s="100"/>
      <c r="H1637" s="91"/>
      <c r="I1637" s="91"/>
      <c r="J1637" s="68"/>
      <c r="K1637" s="69"/>
      <c r="L1637" s="102"/>
      <c r="M1637" s="102"/>
      <c r="N1637" s="68"/>
      <c r="O1637" s="68"/>
      <c r="P1637" s="106"/>
    </row>
    <row r="1638" spans="2:16" x14ac:dyDescent="0.25">
      <c r="B1638" s="68"/>
      <c r="C1638" s="68"/>
      <c r="D1638" s="68"/>
      <c r="E1638" s="68"/>
      <c r="F1638" s="68"/>
      <c r="G1638" s="100"/>
      <c r="H1638" s="91"/>
      <c r="I1638" s="91"/>
      <c r="J1638" s="68"/>
      <c r="K1638" s="69"/>
      <c r="L1638" s="102"/>
      <c r="M1638" s="102"/>
      <c r="N1638" s="68"/>
      <c r="O1638" s="68"/>
      <c r="P1638" s="106"/>
    </row>
    <row r="1639" spans="2:16" x14ac:dyDescent="0.25">
      <c r="B1639" s="68"/>
      <c r="C1639" s="68"/>
      <c r="D1639" s="68"/>
      <c r="E1639" s="68"/>
      <c r="F1639" s="68"/>
      <c r="G1639" s="100"/>
      <c r="H1639" s="91"/>
      <c r="I1639" s="91"/>
      <c r="J1639" s="68"/>
      <c r="K1639" s="69"/>
      <c r="L1639" s="102"/>
      <c r="M1639" s="102"/>
      <c r="N1639" s="68"/>
      <c r="O1639" s="68"/>
      <c r="P1639" s="106"/>
    </row>
    <row r="1640" spans="2:16" x14ac:dyDescent="0.25">
      <c r="B1640" s="68"/>
      <c r="C1640" s="68"/>
      <c r="D1640" s="68"/>
      <c r="E1640" s="68"/>
      <c r="F1640" s="68"/>
      <c r="G1640" s="100"/>
      <c r="H1640" s="91"/>
      <c r="I1640" s="91"/>
      <c r="J1640" s="68"/>
      <c r="K1640" s="69"/>
      <c r="L1640" s="102"/>
      <c r="M1640" s="102"/>
      <c r="N1640" s="68"/>
      <c r="O1640" s="68"/>
      <c r="P1640" s="106"/>
    </row>
    <row r="1641" spans="2:16" x14ac:dyDescent="0.25">
      <c r="B1641" s="68"/>
      <c r="C1641" s="68"/>
      <c r="D1641" s="68"/>
      <c r="E1641" s="68"/>
      <c r="F1641" s="68"/>
      <c r="G1641" s="100"/>
      <c r="H1641" s="91"/>
      <c r="I1641" s="91"/>
      <c r="J1641" s="68"/>
      <c r="K1641" s="69"/>
      <c r="L1641" s="102"/>
      <c r="M1641" s="102"/>
      <c r="N1641" s="68"/>
      <c r="O1641" s="68"/>
      <c r="P1641" s="106"/>
    </row>
    <row r="1642" spans="2:16" x14ac:dyDescent="0.25">
      <c r="B1642" s="68"/>
      <c r="C1642" s="68"/>
      <c r="D1642" s="68"/>
      <c r="E1642" s="68"/>
      <c r="F1642" s="68"/>
      <c r="G1642" s="100"/>
      <c r="H1642" s="91"/>
      <c r="I1642" s="91"/>
      <c r="J1642" s="68"/>
      <c r="K1642" s="69"/>
      <c r="L1642" s="102"/>
      <c r="M1642" s="102"/>
      <c r="N1642" s="68"/>
      <c r="O1642" s="68"/>
      <c r="P1642" s="106"/>
    </row>
    <row r="1643" spans="2:16" x14ac:dyDescent="0.25">
      <c r="B1643" s="68"/>
      <c r="C1643" s="68"/>
      <c r="D1643" s="68"/>
      <c r="E1643" s="68"/>
      <c r="F1643" s="68"/>
      <c r="G1643" s="100"/>
      <c r="H1643" s="91"/>
      <c r="I1643" s="91"/>
      <c r="J1643" s="68"/>
      <c r="K1643" s="69"/>
      <c r="L1643" s="102"/>
      <c r="M1643" s="102"/>
      <c r="N1643" s="68"/>
      <c r="O1643" s="68"/>
      <c r="P1643" s="106"/>
    </row>
    <row r="1644" spans="2:16" x14ac:dyDescent="0.25">
      <c r="B1644" s="68"/>
      <c r="C1644" s="68"/>
      <c r="D1644" s="68"/>
      <c r="E1644" s="68"/>
      <c r="F1644" s="68"/>
      <c r="G1644" s="100"/>
      <c r="H1644" s="91"/>
      <c r="I1644" s="91"/>
      <c r="J1644" s="68"/>
      <c r="K1644" s="69"/>
      <c r="L1644" s="102"/>
      <c r="M1644" s="102"/>
      <c r="N1644" s="68"/>
      <c r="O1644" s="68"/>
      <c r="P1644" s="106"/>
    </row>
    <row r="1645" spans="2:16" x14ac:dyDescent="0.25">
      <c r="B1645" s="68"/>
      <c r="C1645" s="68"/>
      <c r="D1645" s="68"/>
      <c r="E1645" s="68"/>
      <c r="F1645" s="68"/>
      <c r="G1645" s="100"/>
      <c r="H1645" s="91"/>
      <c r="I1645" s="91"/>
      <c r="J1645" s="68"/>
      <c r="K1645" s="69"/>
      <c r="L1645" s="102"/>
      <c r="M1645" s="102"/>
      <c r="N1645" s="68"/>
      <c r="O1645" s="68"/>
      <c r="P1645" s="106"/>
    </row>
    <row r="1646" spans="2:16" x14ac:dyDescent="0.25">
      <c r="B1646" s="68"/>
      <c r="C1646" s="68"/>
      <c r="D1646" s="68"/>
      <c r="E1646" s="68"/>
      <c r="F1646" s="68"/>
      <c r="G1646" s="100"/>
      <c r="H1646" s="91"/>
      <c r="I1646" s="91"/>
      <c r="J1646" s="68"/>
      <c r="K1646" s="69"/>
      <c r="L1646" s="102"/>
      <c r="M1646" s="102"/>
      <c r="N1646" s="68"/>
      <c r="O1646" s="68"/>
      <c r="P1646" s="106"/>
    </row>
    <row r="1647" spans="2:16" x14ac:dyDescent="0.25">
      <c r="B1647" s="68"/>
      <c r="C1647" s="68"/>
      <c r="D1647" s="68"/>
      <c r="E1647" s="68"/>
      <c r="F1647" s="68"/>
      <c r="G1647" s="100"/>
      <c r="H1647" s="91"/>
      <c r="I1647" s="91"/>
      <c r="J1647" s="68"/>
      <c r="K1647" s="69"/>
      <c r="L1647" s="102"/>
      <c r="M1647" s="102"/>
      <c r="N1647" s="68"/>
      <c r="O1647" s="68"/>
      <c r="P1647" s="106"/>
    </row>
    <row r="1648" spans="2:16" x14ac:dyDescent="0.25">
      <c r="B1648" s="68"/>
      <c r="C1648" s="68"/>
      <c r="D1648" s="68"/>
      <c r="E1648" s="68"/>
      <c r="F1648" s="68"/>
      <c r="G1648" s="100"/>
      <c r="H1648" s="91"/>
      <c r="I1648" s="91"/>
      <c r="J1648" s="68"/>
      <c r="K1648" s="69"/>
      <c r="L1648" s="102"/>
      <c r="M1648" s="102"/>
      <c r="N1648" s="68"/>
      <c r="O1648" s="68"/>
      <c r="P1648" s="106"/>
    </row>
    <row r="1649" spans="2:16" x14ac:dyDescent="0.25">
      <c r="B1649" s="68"/>
      <c r="C1649" s="68"/>
      <c r="D1649" s="68"/>
      <c r="E1649" s="68"/>
      <c r="F1649" s="68"/>
      <c r="G1649" s="100"/>
      <c r="H1649" s="91"/>
      <c r="I1649" s="91"/>
      <c r="J1649" s="68"/>
      <c r="K1649" s="69"/>
      <c r="L1649" s="102"/>
      <c r="M1649" s="102"/>
      <c r="N1649" s="68"/>
      <c r="O1649" s="68"/>
      <c r="P1649" s="106"/>
    </row>
    <row r="1650" spans="2:16" x14ac:dyDescent="0.25">
      <c r="B1650" s="68"/>
      <c r="C1650" s="68"/>
      <c r="D1650" s="68"/>
      <c r="E1650" s="68"/>
      <c r="F1650" s="68"/>
      <c r="G1650" s="100"/>
      <c r="H1650" s="91"/>
      <c r="I1650" s="91"/>
      <c r="J1650" s="68"/>
      <c r="K1650" s="69"/>
      <c r="L1650" s="102"/>
      <c r="M1650" s="102"/>
      <c r="N1650" s="68"/>
      <c r="O1650" s="68"/>
      <c r="P1650" s="106"/>
    </row>
    <row r="1651" spans="2:16" x14ac:dyDescent="0.25">
      <c r="B1651" s="68"/>
      <c r="C1651" s="68"/>
      <c r="D1651" s="68"/>
      <c r="E1651" s="68"/>
      <c r="F1651" s="68"/>
      <c r="G1651" s="100"/>
      <c r="H1651" s="91"/>
      <c r="I1651" s="91"/>
      <c r="J1651" s="68"/>
      <c r="K1651" s="69"/>
      <c r="L1651" s="102"/>
      <c r="M1651" s="102"/>
      <c r="N1651" s="68"/>
      <c r="O1651" s="68"/>
      <c r="P1651" s="106"/>
    </row>
    <row r="1652" spans="2:16" x14ac:dyDescent="0.25">
      <c r="B1652" s="68"/>
      <c r="C1652" s="68"/>
      <c r="D1652" s="68"/>
      <c r="E1652" s="68"/>
      <c r="F1652" s="68"/>
      <c r="G1652" s="100"/>
      <c r="H1652" s="91"/>
      <c r="I1652" s="91"/>
      <c r="J1652" s="68"/>
      <c r="K1652" s="69"/>
      <c r="L1652" s="102"/>
      <c r="M1652" s="102"/>
      <c r="N1652" s="68"/>
      <c r="O1652" s="68"/>
      <c r="P1652" s="106"/>
    </row>
    <row r="1653" spans="2:16" x14ac:dyDescent="0.25">
      <c r="B1653" s="68"/>
      <c r="C1653" s="68"/>
      <c r="D1653" s="68"/>
      <c r="E1653" s="68"/>
      <c r="F1653" s="68"/>
      <c r="G1653" s="100"/>
      <c r="H1653" s="91"/>
      <c r="I1653" s="91"/>
      <c r="J1653" s="68"/>
      <c r="K1653" s="69"/>
      <c r="L1653" s="102"/>
      <c r="M1653" s="102"/>
      <c r="N1653" s="68"/>
      <c r="O1653" s="68"/>
      <c r="P1653" s="106"/>
    </row>
    <row r="1654" spans="2:16" x14ac:dyDescent="0.25">
      <c r="B1654" s="68"/>
      <c r="C1654" s="68"/>
      <c r="D1654" s="68"/>
      <c r="E1654" s="68"/>
      <c r="F1654" s="68"/>
      <c r="G1654" s="100"/>
      <c r="H1654" s="91"/>
      <c r="I1654" s="91"/>
      <c r="J1654" s="68"/>
      <c r="K1654" s="69"/>
      <c r="L1654" s="102"/>
      <c r="M1654" s="102"/>
      <c r="N1654" s="68"/>
      <c r="O1654" s="68"/>
      <c r="P1654" s="106"/>
    </row>
    <row r="1655" spans="2:16" x14ac:dyDescent="0.25">
      <c r="B1655" s="68"/>
      <c r="C1655" s="68"/>
      <c r="D1655" s="68"/>
      <c r="E1655" s="68"/>
      <c r="F1655" s="68"/>
      <c r="G1655" s="100"/>
      <c r="H1655" s="91"/>
      <c r="I1655" s="91"/>
      <c r="J1655" s="68"/>
      <c r="K1655" s="69"/>
      <c r="L1655" s="102"/>
      <c r="M1655" s="102"/>
      <c r="N1655" s="68"/>
      <c r="O1655" s="68"/>
      <c r="P1655" s="106"/>
    </row>
    <row r="1656" spans="2:16" x14ac:dyDescent="0.25">
      <c r="B1656" s="68"/>
      <c r="C1656" s="68"/>
      <c r="D1656" s="68"/>
      <c r="E1656" s="68"/>
      <c r="F1656" s="68"/>
      <c r="G1656" s="100"/>
      <c r="H1656" s="91"/>
      <c r="I1656" s="91"/>
      <c r="J1656" s="68"/>
      <c r="K1656" s="69"/>
      <c r="L1656" s="102"/>
      <c r="M1656" s="102"/>
      <c r="N1656" s="68"/>
      <c r="O1656" s="68"/>
      <c r="P1656" s="106"/>
    </row>
    <row r="1657" spans="2:16" x14ac:dyDescent="0.25">
      <c r="B1657" s="68"/>
      <c r="C1657" s="68"/>
      <c r="D1657" s="68"/>
      <c r="E1657" s="68"/>
      <c r="F1657" s="68"/>
      <c r="G1657" s="100"/>
      <c r="H1657" s="91"/>
      <c r="I1657" s="91"/>
      <c r="J1657" s="68"/>
      <c r="K1657" s="69"/>
      <c r="L1657" s="102"/>
      <c r="M1657" s="102"/>
      <c r="N1657" s="68"/>
      <c r="O1657" s="68"/>
      <c r="P1657" s="106"/>
    </row>
    <row r="1658" spans="2:16" x14ac:dyDescent="0.25">
      <c r="B1658" s="68"/>
      <c r="C1658" s="68"/>
      <c r="D1658" s="68"/>
      <c r="E1658" s="68"/>
      <c r="F1658" s="68"/>
      <c r="G1658" s="100"/>
      <c r="H1658" s="91"/>
      <c r="I1658" s="91"/>
      <c r="J1658" s="68"/>
      <c r="K1658" s="69"/>
      <c r="L1658" s="102"/>
      <c r="M1658" s="102"/>
      <c r="N1658" s="68"/>
      <c r="O1658" s="68"/>
      <c r="P1658" s="106"/>
    </row>
    <row r="1659" spans="2:16" x14ac:dyDescent="0.25">
      <c r="B1659" s="68"/>
      <c r="C1659" s="68"/>
      <c r="D1659" s="68"/>
      <c r="E1659" s="68"/>
      <c r="F1659" s="68"/>
      <c r="G1659" s="100"/>
      <c r="H1659" s="91"/>
      <c r="I1659" s="91"/>
      <c r="J1659" s="68"/>
      <c r="K1659" s="69"/>
      <c r="L1659" s="102"/>
      <c r="M1659" s="102"/>
      <c r="N1659" s="68"/>
      <c r="O1659" s="68"/>
      <c r="P1659" s="106"/>
    </row>
    <row r="1660" spans="2:16" x14ac:dyDescent="0.25">
      <c r="B1660" s="68"/>
      <c r="C1660" s="68"/>
      <c r="D1660" s="68"/>
      <c r="E1660" s="68"/>
      <c r="F1660" s="68"/>
      <c r="G1660" s="100"/>
      <c r="H1660" s="91"/>
      <c r="I1660" s="91"/>
      <c r="J1660" s="68"/>
      <c r="K1660" s="69"/>
      <c r="L1660" s="102"/>
      <c r="M1660" s="102"/>
      <c r="N1660" s="68"/>
      <c r="O1660" s="68"/>
      <c r="P1660" s="106"/>
    </row>
    <row r="1661" spans="2:16" x14ac:dyDescent="0.25">
      <c r="B1661" s="68"/>
      <c r="C1661" s="68"/>
      <c r="D1661" s="68"/>
      <c r="E1661" s="68"/>
      <c r="F1661" s="68"/>
      <c r="G1661" s="100"/>
      <c r="H1661" s="91"/>
      <c r="I1661" s="91"/>
      <c r="J1661" s="68"/>
      <c r="K1661" s="69"/>
      <c r="L1661" s="102"/>
      <c r="M1661" s="102"/>
      <c r="N1661" s="68"/>
      <c r="O1661" s="68"/>
      <c r="P1661" s="106"/>
    </row>
    <row r="1662" spans="2:16" x14ac:dyDescent="0.25">
      <c r="B1662" s="68"/>
      <c r="C1662" s="68"/>
      <c r="D1662" s="68"/>
      <c r="E1662" s="68"/>
      <c r="F1662" s="68"/>
      <c r="G1662" s="100"/>
      <c r="H1662" s="91"/>
      <c r="I1662" s="91"/>
      <c r="J1662" s="68"/>
      <c r="K1662" s="69"/>
      <c r="L1662" s="102"/>
      <c r="M1662" s="102"/>
      <c r="N1662" s="68"/>
      <c r="O1662" s="68"/>
      <c r="P1662" s="106"/>
    </row>
    <row r="1663" spans="2:16" x14ac:dyDescent="0.25">
      <c r="B1663" s="68"/>
      <c r="C1663" s="68"/>
      <c r="D1663" s="68"/>
      <c r="E1663" s="68"/>
      <c r="F1663" s="68"/>
      <c r="G1663" s="100"/>
      <c r="H1663" s="91"/>
      <c r="I1663" s="91"/>
      <c r="J1663" s="68"/>
      <c r="K1663" s="69"/>
      <c r="L1663" s="102"/>
      <c r="M1663" s="102"/>
      <c r="N1663" s="68"/>
      <c r="O1663" s="68"/>
      <c r="P1663" s="106"/>
    </row>
    <row r="1664" spans="2:16" x14ac:dyDescent="0.25">
      <c r="B1664" s="68"/>
      <c r="C1664" s="68"/>
      <c r="D1664" s="68"/>
      <c r="E1664" s="68"/>
      <c r="F1664" s="68"/>
      <c r="G1664" s="100"/>
      <c r="H1664" s="91"/>
      <c r="I1664" s="91"/>
      <c r="J1664" s="68"/>
      <c r="K1664" s="69"/>
      <c r="L1664" s="102"/>
      <c r="M1664" s="102"/>
      <c r="N1664" s="68"/>
      <c r="O1664" s="68"/>
      <c r="P1664" s="106"/>
    </row>
    <row r="1665" spans="2:16" x14ac:dyDescent="0.25">
      <c r="B1665" s="68"/>
      <c r="C1665" s="68"/>
      <c r="D1665" s="68"/>
      <c r="E1665" s="68"/>
      <c r="F1665" s="68"/>
      <c r="G1665" s="100"/>
      <c r="H1665" s="91"/>
      <c r="I1665" s="91"/>
      <c r="J1665" s="68"/>
      <c r="K1665" s="69"/>
      <c r="L1665" s="102"/>
      <c r="M1665" s="102"/>
      <c r="N1665" s="68"/>
      <c r="O1665" s="68"/>
      <c r="P1665" s="106"/>
    </row>
    <row r="1666" spans="2:16" x14ac:dyDescent="0.25">
      <c r="B1666" s="68"/>
      <c r="C1666" s="68"/>
      <c r="D1666" s="68"/>
      <c r="E1666" s="68"/>
      <c r="F1666" s="68"/>
      <c r="G1666" s="100"/>
      <c r="H1666" s="91"/>
      <c r="I1666" s="91"/>
      <c r="J1666" s="68"/>
      <c r="K1666" s="69"/>
      <c r="L1666" s="102"/>
      <c r="M1666" s="102"/>
      <c r="N1666" s="68"/>
      <c r="O1666" s="68"/>
      <c r="P1666" s="106"/>
    </row>
    <row r="1667" spans="2:16" x14ac:dyDescent="0.25">
      <c r="B1667" s="68"/>
      <c r="C1667" s="68"/>
      <c r="D1667" s="68"/>
      <c r="E1667" s="68"/>
      <c r="F1667" s="68"/>
      <c r="G1667" s="100"/>
      <c r="H1667" s="91"/>
      <c r="I1667" s="91"/>
      <c r="J1667" s="68"/>
      <c r="K1667" s="69"/>
      <c r="L1667" s="102"/>
      <c r="M1667" s="102"/>
      <c r="N1667" s="68"/>
      <c r="O1667" s="68"/>
      <c r="P1667" s="106"/>
    </row>
    <row r="1668" spans="2:16" x14ac:dyDescent="0.25">
      <c r="B1668" s="68"/>
      <c r="C1668" s="68"/>
      <c r="D1668" s="68"/>
      <c r="E1668" s="68"/>
      <c r="F1668" s="68"/>
      <c r="G1668" s="100"/>
      <c r="H1668" s="91"/>
      <c r="I1668" s="91"/>
      <c r="J1668" s="68"/>
      <c r="K1668" s="69"/>
      <c r="L1668" s="102"/>
      <c r="M1668" s="102"/>
      <c r="N1668" s="68"/>
      <c r="O1668" s="68"/>
      <c r="P1668" s="106"/>
    </row>
    <row r="1669" spans="2:16" x14ac:dyDescent="0.25">
      <c r="B1669" s="68"/>
      <c r="C1669" s="68"/>
      <c r="D1669" s="68"/>
      <c r="E1669" s="68"/>
      <c r="F1669" s="68"/>
      <c r="G1669" s="100"/>
      <c r="H1669" s="91"/>
      <c r="I1669" s="91"/>
      <c r="J1669" s="68"/>
      <c r="K1669" s="69"/>
      <c r="L1669" s="102"/>
      <c r="M1669" s="102"/>
      <c r="N1669" s="68"/>
      <c r="O1669" s="68"/>
      <c r="P1669" s="106"/>
    </row>
    <row r="1670" spans="2:16" x14ac:dyDescent="0.25">
      <c r="B1670" s="68"/>
      <c r="C1670" s="68"/>
      <c r="D1670" s="68"/>
      <c r="E1670" s="68"/>
      <c r="F1670" s="68"/>
      <c r="G1670" s="100"/>
      <c r="H1670" s="91"/>
      <c r="I1670" s="91"/>
      <c r="J1670" s="68"/>
      <c r="K1670" s="69"/>
      <c r="L1670" s="102"/>
      <c r="M1670" s="102"/>
      <c r="N1670" s="68"/>
      <c r="O1670" s="68"/>
      <c r="P1670" s="106"/>
    </row>
    <row r="1671" spans="2:16" x14ac:dyDescent="0.25">
      <c r="B1671" s="68"/>
      <c r="C1671" s="68"/>
      <c r="D1671" s="68"/>
      <c r="E1671" s="68"/>
      <c r="F1671" s="68"/>
      <c r="G1671" s="100"/>
      <c r="H1671" s="91"/>
      <c r="I1671" s="91"/>
      <c r="J1671" s="68"/>
      <c r="K1671" s="69"/>
      <c r="L1671" s="102"/>
      <c r="M1671" s="102"/>
      <c r="N1671" s="68"/>
      <c r="O1671" s="68"/>
      <c r="P1671" s="106"/>
    </row>
    <row r="1672" spans="2:16" x14ac:dyDescent="0.25">
      <c r="B1672" s="68"/>
      <c r="C1672" s="68"/>
      <c r="D1672" s="68"/>
      <c r="E1672" s="68"/>
      <c r="F1672" s="68"/>
      <c r="G1672" s="100"/>
      <c r="H1672" s="91"/>
      <c r="I1672" s="91"/>
      <c r="J1672" s="68"/>
      <c r="K1672" s="69"/>
      <c r="L1672" s="102"/>
      <c r="M1672" s="102"/>
      <c r="N1672" s="68"/>
      <c r="O1672" s="68"/>
      <c r="P1672" s="106"/>
    </row>
    <row r="1673" spans="2:16" x14ac:dyDescent="0.25">
      <c r="B1673" s="68"/>
      <c r="C1673" s="68"/>
      <c r="D1673" s="68"/>
      <c r="E1673" s="68"/>
      <c r="F1673" s="68"/>
      <c r="G1673" s="100"/>
      <c r="H1673" s="91"/>
      <c r="I1673" s="91"/>
      <c r="J1673" s="68"/>
      <c r="K1673" s="69"/>
      <c r="L1673" s="102"/>
      <c r="M1673" s="102"/>
      <c r="N1673" s="68"/>
      <c r="O1673" s="68"/>
      <c r="P1673" s="106"/>
    </row>
    <row r="1674" spans="2:16" x14ac:dyDescent="0.25">
      <c r="B1674" s="68"/>
      <c r="C1674" s="68"/>
      <c r="D1674" s="68"/>
      <c r="E1674" s="68"/>
      <c r="F1674" s="68"/>
      <c r="G1674" s="100"/>
      <c r="H1674" s="91"/>
      <c r="I1674" s="91"/>
      <c r="J1674" s="68"/>
      <c r="K1674" s="69"/>
      <c r="L1674" s="102"/>
      <c r="M1674" s="102"/>
      <c r="N1674" s="68"/>
      <c r="O1674" s="68"/>
      <c r="P1674" s="106"/>
    </row>
    <row r="1675" spans="2:16" x14ac:dyDescent="0.25">
      <c r="B1675" s="68"/>
      <c r="C1675" s="68"/>
      <c r="D1675" s="68"/>
      <c r="E1675" s="68"/>
      <c r="F1675" s="68"/>
      <c r="G1675" s="100"/>
      <c r="H1675" s="91"/>
      <c r="I1675" s="91"/>
      <c r="J1675" s="68"/>
      <c r="K1675" s="69"/>
      <c r="L1675" s="102"/>
      <c r="M1675" s="102"/>
      <c r="N1675" s="68"/>
      <c r="O1675" s="68"/>
      <c r="P1675" s="106"/>
    </row>
    <row r="1676" spans="2:16" x14ac:dyDescent="0.25">
      <c r="B1676" s="68"/>
      <c r="C1676" s="68"/>
      <c r="D1676" s="68"/>
      <c r="E1676" s="68"/>
      <c r="F1676" s="68"/>
      <c r="G1676" s="100"/>
      <c r="H1676" s="91"/>
      <c r="I1676" s="91"/>
      <c r="J1676" s="68"/>
      <c r="K1676" s="69"/>
      <c r="L1676" s="102"/>
      <c r="M1676" s="102"/>
      <c r="N1676" s="68"/>
      <c r="O1676" s="68"/>
      <c r="P1676" s="106"/>
    </row>
    <row r="1677" spans="2:16" x14ac:dyDescent="0.25">
      <c r="B1677" s="68"/>
      <c r="C1677" s="68"/>
      <c r="D1677" s="68"/>
      <c r="E1677" s="68"/>
      <c r="F1677" s="68"/>
      <c r="G1677" s="100"/>
      <c r="H1677" s="91"/>
      <c r="I1677" s="91"/>
      <c r="J1677" s="68"/>
      <c r="K1677" s="69"/>
      <c r="L1677" s="102"/>
      <c r="M1677" s="102"/>
      <c r="N1677" s="68"/>
      <c r="O1677" s="68"/>
      <c r="P1677" s="106"/>
    </row>
    <row r="1678" spans="2:16" x14ac:dyDescent="0.25">
      <c r="B1678" s="68"/>
      <c r="C1678" s="68"/>
      <c r="D1678" s="68"/>
      <c r="E1678" s="68"/>
      <c r="F1678" s="68"/>
      <c r="G1678" s="100"/>
      <c r="H1678" s="91"/>
      <c r="I1678" s="91"/>
      <c r="J1678" s="68"/>
      <c r="K1678" s="69"/>
      <c r="L1678" s="102"/>
      <c r="M1678" s="102"/>
      <c r="N1678" s="68"/>
      <c r="O1678" s="68"/>
      <c r="P1678" s="106"/>
    </row>
    <row r="1679" spans="2:16" x14ac:dyDescent="0.25">
      <c r="B1679" s="68"/>
      <c r="C1679" s="68"/>
      <c r="D1679" s="68"/>
      <c r="E1679" s="68"/>
      <c r="F1679" s="68"/>
      <c r="G1679" s="100"/>
      <c r="H1679" s="91"/>
      <c r="I1679" s="91"/>
      <c r="J1679" s="68"/>
      <c r="K1679" s="69"/>
      <c r="L1679" s="102"/>
      <c r="M1679" s="102"/>
      <c r="N1679" s="68"/>
      <c r="O1679" s="68"/>
      <c r="P1679" s="106"/>
    </row>
    <row r="1680" spans="2:16" x14ac:dyDescent="0.25">
      <c r="B1680" s="68"/>
      <c r="C1680" s="68"/>
      <c r="D1680" s="68"/>
      <c r="E1680" s="68"/>
      <c r="F1680" s="68"/>
      <c r="G1680" s="100"/>
      <c r="H1680" s="91"/>
      <c r="I1680" s="91"/>
      <c r="J1680" s="68"/>
      <c r="K1680" s="69"/>
      <c r="L1680" s="102"/>
      <c r="M1680" s="102"/>
      <c r="N1680" s="68"/>
      <c r="O1680" s="68"/>
      <c r="P1680" s="106"/>
    </row>
    <row r="1681" spans="2:16" x14ac:dyDescent="0.25">
      <c r="B1681" s="68"/>
      <c r="C1681" s="68"/>
      <c r="D1681" s="68"/>
      <c r="E1681" s="68"/>
      <c r="F1681" s="68"/>
      <c r="G1681" s="100"/>
      <c r="H1681" s="91"/>
      <c r="I1681" s="91"/>
      <c r="J1681" s="68"/>
      <c r="K1681" s="69"/>
      <c r="L1681" s="102"/>
      <c r="M1681" s="102"/>
      <c r="N1681" s="68"/>
      <c r="O1681" s="68"/>
      <c r="P1681" s="106"/>
    </row>
    <row r="1682" spans="2:16" x14ac:dyDescent="0.25">
      <c r="B1682" s="68"/>
      <c r="C1682" s="68"/>
      <c r="D1682" s="68"/>
      <c r="E1682" s="68"/>
      <c r="F1682" s="68"/>
      <c r="G1682" s="100"/>
      <c r="H1682" s="91"/>
      <c r="I1682" s="91"/>
      <c r="J1682" s="68"/>
      <c r="K1682" s="69"/>
      <c r="L1682" s="102"/>
      <c r="M1682" s="102"/>
      <c r="N1682" s="68"/>
      <c r="O1682" s="68"/>
      <c r="P1682" s="106"/>
    </row>
    <row r="1683" spans="2:16" x14ac:dyDescent="0.25">
      <c r="B1683" s="68"/>
      <c r="C1683" s="68"/>
      <c r="D1683" s="68"/>
      <c r="E1683" s="68"/>
      <c r="F1683" s="68"/>
      <c r="G1683" s="100"/>
      <c r="H1683" s="91"/>
      <c r="I1683" s="91"/>
      <c r="J1683" s="68"/>
      <c r="K1683" s="69"/>
      <c r="L1683" s="102"/>
      <c r="M1683" s="102"/>
      <c r="N1683" s="68"/>
      <c r="O1683" s="68"/>
      <c r="P1683" s="106"/>
    </row>
    <row r="1684" spans="2:16" x14ac:dyDescent="0.25">
      <c r="B1684" s="68"/>
      <c r="C1684" s="68"/>
      <c r="D1684" s="68"/>
      <c r="E1684" s="68"/>
      <c r="F1684" s="68"/>
      <c r="G1684" s="100"/>
      <c r="H1684" s="91"/>
      <c r="I1684" s="91"/>
      <c r="J1684" s="68"/>
      <c r="K1684" s="69"/>
      <c r="L1684" s="102"/>
      <c r="M1684" s="102"/>
      <c r="N1684" s="68"/>
      <c r="O1684" s="68"/>
      <c r="P1684" s="106"/>
    </row>
    <row r="1685" spans="2:16" x14ac:dyDescent="0.25">
      <c r="B1685" s="68"/>
      <c r="C1685" s="68"/>
      <c r="D1685" s="68"/>
      <c r="E1685" s="68"/>
      <c r="F1685" s="68"/>
      <c r="G1685" s="100"/>
      <c r="H1685" s="91"/>
      <c r="I1685" s="91"/>
      <c r="J1685" s="68"/>
      <c r="K1685" s="69"/>
      <c r="L1685" s="102"/>
      <c r="M1685" s="102"/>
      <c r="N1685" s="68"/>
      <c r="O1685" s="68"/>
      <c r="P1685" s="106"/>
    </row>
    <row r="1686" spans="2:16" x14ac:dyDescent="0.25">
      <c r="B1686" s="68"/>
      <c r="C1686" s="68"/>
      <c r="D1686" s="68"/>
      <c r="E1686" s="68"/>
      <c r="F1686" s="68"/>
      <c r="G1686" s="100"/>
      <c r="H1686" s="91"/>
      <c r="I1686" s="91"/>
      <c r="J1686" s="68"/>
      <c r="K1686" s="69"/>
      <c r="L1686" s="102"/>
      <c r="M1686" s="102"/>
      <c r="N1686" s="68"/>
      <c r="O1686" s="68"/>
      <c r="P1686" s="106"/>
    </row>
    <row r="1687" spans="2:16" x14ac:dyDescent="0.25">
      <c r="B1687" s="68"/>
      <c r="C1687" s="68"/>
      <c r="D1687" s="68"/>
      <c r="E1687" s="68"/>
      <c r="F1687" s="68"/>
      <c r="G1687" s="100"/>
      <c r="H1687" s="91"/>
      <c r="I1687" s="91"/>
      <c r="J1687" s="68"/>
      <c r="K1687" s="69"/>
      <c r="L1687" s="102"/>
      <c r="M1687" s="102"/>
      <c r="N1687" s="68"/>
      <c r="O1687" s="68"/>
      <c r="P1687" s="106"/>
    </row>
    <row r="1688" spans="2:16" x14ac:dyDescent="0.25">
      <c r="B1688" s="68"/>
      <c r="C1688" s="68"/>
      <c r="D1688" s="68"/>
      <c r="E1688" s="68"/>
      <c r="F1688" s="68"/>
      <c r="G1688" s="100"/>
      <c r="H1688" s="91"/>
      <c r="I1688" s="91"/>
      <c r="J1688" s="68"/>
      <c r="K1688" s="69"/>
      <c r="L1688" s="102"/>
      <c r="M1688" s="102"/>
      <c r="N1688" s="68"/>
      <c r="O1688" s="68"/>
      <c r="P1688" s="106"/>
    </row>
    <row r="1689" spans="2:16" x14ac:dyDescent="0.25">
      <c r="B1689" s="68"/>
      <c r="C1689" s="68"/>
      <c r="D1689" s="68"/>
      <c r="E1689" s="68"/>
      <c r="F1689" s="68"/>
      <c r="G1689" s="100"/>
      <c r="H1689" s="91"/>
      <c r="I1689" s="91"/>
      <c r="J1689" s="68"/>
      <c r="K1689" s="69"/>
      <c r="L1689" s="102"/>
      <c r="M1689" s="102"/>
      <c r="N1689" s="68"/>
      <c r="O1689" s="68"/>
      <c r="P1689" s="106"/>
    </row>
    <row r="1690" spans="2:16" x14ac:dyDescent="0.25">
      <c r="B1690" s="68"/>
      <c r="C1690" s="68"/>
      <c r="D1690" s="68"/>
      <c r="E1690" s="68"/>
      <c r="F1690" s="68"/>
      <c r="G1690" s="100"/>
      <c r="H1690" s="91"/>
      <c r="I1690" s="91"/>
      <c r="J1690" s="68"/>
      <c r="K1690" s="69"/>
      <c r="L1690" s="102"/>
      <c r="M1690" s="102"/>
      <c r="N1690" s="68"/>
      <c r="O1690" s="68"/>
      <c r="P1690" s="106"/>
    </row>
    <row r="1691" spans="2:16" x14ac:dyDescent="0.25">
      <c r="B1691" s="68"/>
      <c r="C1691" s="68"/>
      <c r="D1691" s="68"/>
      <c r="E1691" s="68"/>
      <c r="F1691" s="68"/>
      <c r="G1691" s="100"/>
      <c r="H1691" s="91"/>
      <c r="I1691" s="91"/>
      <c r="J1691" s="68"/>
      <c r="K1691" s="69"/>
      <c r="L1691" s="102"/>
      <c r="M1691" s="102"/>
      <c r="N1691" s="68"/>
      <c r="O1691" s="68"/>
      <c r="P1691" s="106"/>
    </row>
    <row r="1692" spans="2:16" x14ac:dyDescent="0.25">
      <c r="B1692" s="68"/>
      <c r="C1692" s="68"/>
      <c r="D1692" s="68"/>
      <c r="E1692" s="68"/>
      <c r="F1692" s="68"/>
      <c r="G1692" s="100"/>
      <c r="H1692" s="91"/>
      <c r="I1692" s="91"/>
      <c r="J1692" s="68"/>
      <c r="K1692" s="69"/>
      <c r="L1692" s="102"/>
      <c r="M1692" s="102"/>
      <c r="N1692" s="68"/>
      <c r="O1692" s="68"/>
      <c r="P1692" s="106"/>
    </row>
    <row r="1693" spans="2:16" x14ac:dyDescent="0.25">
      <c r="B1693" s="68"/>
      <c r="C1693" s="68"/>
      <c r="D1693" s="68"/>
      <c r="E1693" s="68"/>
      <c r="F1693" s="68"/>
      <c r="G1693" s="100"/>
      <c r="H1693" s="91"/>
      <c r="I1693" s="91"/>
      <c r="J1693" s="68"/>
      <c r="K1693" s="69"/>
      <c r="L1693" s="102"/>
      <c r="M1693" s="102"/>
      <c r="N1693" s="68"/>
      <c r="O1693" s="68"/>
      <c r="P1693" s="106"/>
    </row>
    <row r="1694" spans="2:16" x14ac:dyDescent="0.25">
      <c r="B1694" s="68"/>
      <c r="C1694" s="68"/>
      <c r="D1694" s="68"/>
      <c r="E1694" s="68"/>
      <c r="F1694" s="68"/>
      <c r="G1694" s="100"/>
      <c r="H1694" s="91"/>
      <c r="I1694" s="91"/>
      <c r="J1694" s="68"/>
      <c r="K1694" s="69"/>
      <c r="L1694" s="102"/>
      <c r="M1694" s="102"/>
      <c r="N1694" s="68"/>
      <c r="O1694" s="68"/>
      <c r="P1694" s="106"/>
    </row>
    <row r="1695" spans="2:16" x14ac:dyDescent="0.25">
      <c r="B1695" s="68"/>
      <c r="C1695" s="68"/>
      <c r="D1695" s="68"/>
      <c r="E1695" s="68"/>
      <c r="F1695" s="68"/>
      <c r="G1695" s="100"/>
      <c r="H1695" s="91"/>
      <c r="I1695" s="91"/>
      <c r="J1695" s="68"/>
      <c r="K1695" s="69"/>
      <c r="L1695" s="102"/>
      <c r="M1695" s="102"/>
      <c r="N1695" s="68"/>
      <c r="O1695" s="68"/>
      <c r="P1695" s="106"/>
    </row>
    <row r="1696" spans="2:16" x14ac:dyDescent="0.25">
      <c r="B1696" s="68"/>
      <c r="C1696" s="68"/>
      <c r="D1696" s="68"/>
      <c r="E1696" s="68"/>
      <c r="F1696" s="68"/>
      <c r="G1696" s="100"/>
      <c r="H1696" s="91"/>
      <c r="I1696" s="91"/>
      <c r="J1696" s="68"/>
      <c r="K1696" s="69"/>
      <c r="L1696" s="102"/>
      <c r="M1696" s="102"/>
      <c r="N1696" s="68"/>
      <c r="O1696" s="68"/>
      <c r="P1696" s="106"/>
    </row>
    <row r="1697" spans="2:16" x14ac:dyDescent="0.25">
      <c r="B1697" s="68"/>
      <c r="C1697" s="68"/>
      <c r="D1697" s="68"/>
      <c r="E1697" s="68"/>
      <c r="F1697" s="68"/>
      <c r="G1697" s="100"/>
      <c r="H1697" s="91"/>
      <c r="I1697" s="91"/>
      <c r="J1697" s="68"/>
      <c r="K1697" s="69"/>
      <c r="L1697" s="102"/>
      <c r="M1697" s="102"/>
      <c r="N1697" s="68"/>
      <c r="O1697" s="68"/>
      <c r="P1697" s="106"/>
    </row>
    <row r="1698" spans="2:16" x14ac:dyDescent="0.25">
      <c r="B1698" s="68"/>
      <c r="C1698" s="68"/>
      <c r="D1698" s="68"/>
      <c r="E1698" s="68"/>
      <c r="F1698" s="68"/>
      <c r="G1698" s="100"/>
      <c r="H1698" s="91"/>
      <c r="I1698" s="91"/>
      <c r="J1698" s="68"/>
      <c r="K1698" s="69"/>
      <c r="L1698" s="102"/>
      <c r="M1698" s="102"/>
      <c r="N1698" s="68"/>
      <c r="O1698" s="68"/>
      <c r="P1698" s="106"/>
    </row>
    <row r="1699" spans="2:16" x14ac:dyDescent="0.25">
      <c r="B1699" s="68"/>
      <c r="C1699" s="68"/>
      <c r="D1699" s="68"/>
      <c r="E1699" s="68"/>
      <c r="F1699" s="68"/>
      <c r="G1699" s="100"/>
      <c r="H1699" s="91"/>
      <c r="I1699" s="91"/>
      <c r="J1699" s="68"/>
      <c r="K1699" s="69"/>
      <c r="L1699" s="102"/>
      <c r="M1699" s="102"/>
      <c r="N1699" s="68"/>
      <c r="O1699" s="68"/>
      <c r="P1699" s="106"/>
    </row>
    <row r="1700" spans="2:16" x14ac:dyDescent="0.25">
      <c r="B1700" s="68"/>
      <c r="C1700" s="68"/>
      <c r="D1700" s="68"/>
      <c r="E1700" s="68"/>
      <c r="F1700" s="68"/>
      <c r="G1700" s="100"/>
      <c r="H1700" s="91"/>
      <c r="I1700" s="91"/>
      <c r="J1700" s="68"/>
      <c r="K1700" s="69"/>
      <c r="L1700" s="102"/>
      <c r="M1700" s="102"/>
      <c r="N1700" s="68"/>
      <c r="O1700" s="68"/>
      <c r="P1700" s="106"/>
    </row>
    <row r="1701" spans="2:16" x14ac:dyDescent="0.25">
      <c r="B1701" s="68"/>
      <c r="C1701" s="68"/>
      <c r="D1701" s="68"/>
      <c r="E1701" s="68"/>
      <c r="F1701" s="68"/>
      <c r="G1701" s="100"/>
      <c r="H1701" s="91"/>
      <c r="I1701" s="91"/>
      <c r="J1701" s="68"/>
      <c r="K1701" s="69"/>
      <c r="L1701" s="102"/>
      <c r="M1701" s="102"/>
      <c r="N1701" s="68"/>
      <c r="O1701" s="68"/>
      <c r="P1701" s="106"/>
    </row>
    <row r="1702" spans="2:16" x14ac:dyDescent="0.25">
      <c r="B1702" s="68"/>
      <c r="C1702" s="68"/>
      <c r="D1702" s="68"/>
      <c r="E1702" s="68"/>
      <c r="F1702" s="68"/>
      <c r="G1702" s="100"/>
      <c r="H1702" s="91"/>
      <c r="I1702" s="91"/>
      <c r="J1702" s="68"/>
      <c r="K1702" s="69"/>
      <c r="L1702" s="102"/>
      <c r="M1702" s="102"/>
      <c r="N1702" s="68"/>
      <c r="O1702" s="68"/>
      <c r="P1702" s="106"/>
    </row>
    <row r="1703" spans="2:16" x14ac:dyDescent="0.25">
      <c r="B1703" s="68"/>
      <c r="C1703" s="68"/>
      <c r="D1703" s="68"/>
      <c r="E1703" s="68"/>
      <c r="F1703" s="68"/>
      <c r="G1703" s="100"/>
      <c r="H1703" s="91"/>
      <c r="I1703" s="91"/>
      <c r="J1703" s="68"/>
      <c r="K1703" s="69"/>
      <c r="L1703" s="102"/>
      <c r="M1703" s="102"/>
      <c r="N1703" s="68"/>
      <c r="O1703" s="68"/>
      <c r="P1703" s="106"/>
    </row>
    <row r="1704" spans="2:16" x14ac:dyDescent="0.25">
      <c r="B1704" s="68"/>
      <c r="C1704" s="68"/>
      <c r="D1704" s="68"/>
      <c r="E1704" s="68"/>
      <c r="F1704" s="68"/>
      <c r="G1704" s="100"/>
      <c r="H1704" s="91"/>
      <c r="I1704" s="91"/>
      <c r="J1704" s="68"/>
      <c r="K1704" s="69"/>
      <c r="L1704" s="102"/>
      <c r="M1704" s="102"/>
      <c r="N1704" s="68"/>
      <c r="O1704" s="68"/>
      <c r="P1704" s="106"/>
    </row>
    <row r="1705" spans="2:16" x14ac:dyDescent="0.25">
      <c r="B1705" s="68"/>
      <c r="C1705" s="68"/>
      <c r="D1705" s="68"/>
      <c r="E1705" s="68"/>
      <c r="F1705" s="68"/>
      <c r="G1705" s="100"/>
      <c r="H1705" s="91"/>
      <c r="I1705" s="91"/>
      <c r="J1705" s="68"/>
      <c r="K1705" s="69"/>
      <c r="L1705" s="102"/>
      <c r="M1705" s="102"/>
      <c r="N1705" s="68"/>
      <c r="O1705" s="68"/>
      <c r="P1705" s="106"/>
    </row>
    <row r="1706" spans="2:16" x14ac:dyDescent="0.25">
      <c r="B1706" s="68"/>
      <c r="C1706" s="68"/>
      <c r="D1706" s="68"/>
      <c r="E1706" s="68"/>
      <c r="F1706" s="68"/>
      <c r="G1706" s="100"/>
      <c r="H1706" s="91"/>
      <c r="I1706" s="91"/>
      <c r="J1706" s="68"/>
      <c r="K1706" s="69"/>
      <c r="L1706" s="102"/>
      <c r="M1706" s="102"/>
      <c r="N1706" s="68"/>
      <c r="O1706" s="68"/>
      <c r="P1706" s="106"/>
    </row>
    <row r="1707" spans="2:16" x14ac:dyDescent="0.25">
      <c r="B1707" s="68"/>
      <c r="C1707" s="68"/>
      <c r="D1707" s="68"/>
      <c r="E1707" s="68"/>
      <c r="F1707" s="68"/>
      <c r="G1707" s="100"/>
      <c r="H1707" s="91"/>
      <c r="I1707" s="91"/>
      <c r="J1707" s="68"/>
      <c r="K1707" s="69"/>
      <c r="L1707" s="102"/>
      <c r="M1707" s="102"/>
      <c r="N1707" s="68"/>
      <c r="O1707" s="68"/>
      <c r="P1707" s="106"/>
    </row>
    <row r="1708" spans="2:16" x14ac:dyDescent="0.25">
      <c r="B1708" s="68"/>
      <c r="C1708" s="68"/>
      <c r="D1708" s="68"/>
      <c r="E1708" s="68"/>
      <c r="F1708" s="68"/>
      <c r="G1708" s="100"/>
      <c r="H1708" s="91"/>
      <c r="I1708" s="91"/>
      <c r="J1708" s="68"/>
      <c r="K1708" s="69"/>
      <c r="L1708" s="102"/>
      <c r="M1708" s="102"/>
      <c r="N1708" s="68"/>
      <c r="O1708" s="68"/>
      <c r="P1708" s="106"/>
    </row>
    <row r="1709" spans="2:16" x14ac:dyDescent="0.25">
      <c r="B1709" s="68"/>
      <c r="C1709" s="68"/>
      <c r="D1709" s="68"/>
      <c r="E1709" s="68"/>
      <c r="F1709" s="68"/>
      <c r="G1709" s="100"/>
      <c r="H1709" s="91"/>
      <c r="I1709" s="91"/>
      <c r="J1709" s="68"/>
      <c r="K1709" s="69"/>
      <c r="L1709" s="102"/>
      <c r="M1709" s="102"/>
      <c r="N1709" s="68"/>
      <c r="O1709" s="68"/>
      <c r="P1709" s="106"/>
    </row>
    <row r="1710" spans="2:16" x14ac:dyDescent="0.25">
      <c r="B1710" s="68"/>
      <c r="C1710" s="68"/>
      <c r="D1710" s="68"/>
      <c r="E1710" s="68"/>
      <c r="F1710" s="68"/>
      <c r="G1710" s="100"/>
      <c r="H1710" s="91"/>
      <c r="I1710" s="91"/>
      <c r="J1710" s="68"/>
      <c r="K1710" s="69"/>
      <c r="L1710" s="102"/>
      <c r="M1710" s="102"/>
      <c r="N1710" s="68"/>
      <c r="O1710" s="68"/>
      <c r="P1710" s="106"/>
    </row>
    <row r="1711" spans="2:16" x14ac:dyDescent="0.25">
      <c r="B1711" s="68"/>
      <c r="C1711" s="68"/>
      <c r="D1711" s="68"/>
      <c r="E1711" s="68"/>
      <c r="F1711" s="68"/>
      <c r="G1711" s="100"/>
      <c r="H1711" s="91"/>
      <c r="I1711" s="91"/>
      <c r="J1711" s="68"/>
      <c r="K1711" s="69"/>
      <c r="L1711" s="102"/>
      <c r="M1711" s="102"/>
      <c r="N1711" s="68"/>
      <c r="O1711" s="68"/>
      <c r="P1711" s="106"/>
    </row>
    <row r="1712" spans="2:16" x14ac:dyDescent="0.25">
      <c r="B1712" s="68"/>
      <c r="C1712" s="68"/>
      <c r="D1712" s="68"/>
      <c r="E1712" s="68"/>
      <c r="F1712" s="68"/>
      <c r="G1712" s="100"/>
      <c r="H1712" s="91"/>
      <c r="I1712" s="91"/>
      <c r="J1712" s="68"/>
      <c r="K1712" s="69"/>
      <c r="L1712" s="102"/>
      <c r="M1712" s="102"/>
      <c r="N1712" s="68"/>
      <c r="O1712" s="68"/>
      <c r="P1712" s="106"/>
    </row>
    <row r="1713" spans="2:16" x14ac:dyDescent="0.25">
      <c r="B1713" s="68"/>
      <c r="C1713" s="68"/>
      <c r="D1713" s="68"/>
      <c r="E1713" s="68"/>
      <c r="F1713" s="68"/>
      <c r="G1713" s="100"/>
      <c r="H1713" s="91"/>
      <c r="I1713" s="91"/>
      <c r="J1713" s="68"/>
      <c r="K1713" s="69"/>
      <c r="L1713" s="102"/>
      <c r="M1713" s="102"/>
      <c r="N1713" s="68"/>
      <c r="O1713" s="68"/>
      <c r="P1713" s="106"/>
    </row>
    <row r="1714" spans="2:16" x14ac:dyDescent="0.25">
      <c r="B1714" s="68"/>
      <c r="C1714" s="68"/>
      <c r="D1714" s="68"/>
      <c r="E1714" s="68"/>
      <c r="F1714" s="68"/>
      <c r="G1714" s="100"/>
      <c r="H1714" s="91"/>
      <c r="I1714" s="91"/>
      <c r="J1714" s="68"/>
      <c r="K1714" s="69"/>
      <c r="L1714" s="102"/>
      <c r="M1714" s="102"/>
      <c r="N1714" s="68"/>
      <c r="O1714" s="68"/>
      <c r="P1714" s="106"/>
    </row>
    <row r="1715" spans="2:16" x14ac:dyDescent="0.25">
      <c r="B1715" s="68"/>
      <c r="C1715" s="68"/>
      <c r="D1715" s="68"/>
      <c r="E1715" s="68"/>
      <c r="F1715" s="68"/>
      <c r="G1715" s="100"/>
      <c r="H1715" s="91"/>
      <c r="I1715" s="91"/>
      <c r="J1715" s="68"/>
      <c r="K1715" s="69"/>
      <c r="L1715" s="102"/>
      <c r="M1715" s="102"/>
      <c r="N1715" s="68"/>
      <c r="O1715" s="68"/>
      <c r="P1715" s="106"/>
    </row>
    <row r="1716" spans="2:16" x14ac:dyDescent="0.25">
      <c r="B1716" s="68"/>
      <c r="C1716" s="68"/>
      <c r="D1716" s="68"/>
      <c r="E1716" s="68"/>
      <c r="F1716" s="68"/>
      <c r="G1716" s="100"/>
      <c r="H1716" s="91"/>
      <c r="I1716" s="91"/>
      <c r="J1716" s="68"/>
      <c r="K1716" s="69"/>
      <c r="L1716" s="102"/>
      <c r="M1716" s="102"/>
      <c r="N1716" s="68"/>
      <c r="O1716" s="68"/>
      <c r="P1716" s="106"/>
    </row>
    <row r="1717" spans="2:16" x14ac:dyDescent="0.25">
      <c r="B1717" s="68"/>
      <c r="C1717" s="68"/>
      <c r="D1717" s="68"/>
      <c r="E1717" s="68"/>
      <c r="F1717" s="68"/>
      <c r="G1717" s="100"/>
      <c r="H1717" s="91"/>
      <c r="I1717" s="91"/>
      <c r="J1717" s="68"/>
      <c r="K1717" s="69"/>
      <c r="L1717" s="102"/>
      <c r="M1717" s="102"/>
      <c r="N1717" s="68"/>
      <c r="O1717" s="68"/>
      <c r="P1717" s="106"/>
    </row>
    <row r="1718" spans="2:16" x14ac:dyDescent="0.25">
      <c r="B1718" s="68"/>
      <c r="C1718" s="68"/>
      <c r="D1718" s="68"/>
      <c r="E1718" s="68"/>
      <c r="F1718" s="68"/>
      <c r="G1718" s="100"/>
      <c r="H1718" s="91"/>
      <c r="I1718" s="91"/>
      <c r="J1718" s="68"/>
      <c r="K1718" s="69"/>
      <c r="L1718" s="102"/>
      <c r="M1718" s="102"/>
      <c r="N1718" s="68"/>
      <c r="O1718" s="68"/>
      <c r="P1718" s="106"/>
    </row>
    <row r="1719" spans="2:16" x14ac:dyDescent="0.25">
      <c r="B1719" s="68"/>
      <c r="C1719" s="68"/>
      <c r="D1719" s="68"/>
      <c r="E1719" s="68"/>
      <c r="F1719" s="68"/>
      <c r="G1719" s="100"/>
      <c r="H1719" s="91"/>
      <c r="I1719" s="91"/>
      <c r="J1719" s="68"/>
      <c r="K1719" s="69"/>
      <c r="L1719" s="102"/>
      <c r="M1719" s="102"/>
      <c r="N1719" s="68"/>
      <c r="O1719" s="68"/>
      <c r="P1719" s="106"/>
    </row>
    <row r="1720" spans="2:16" x14ac:dyDescent="0.25">
      <c r="B1720" s="68"/>
      <c r="C1720" s="68"/>
      <c r="D1720" s="68"/>
      <c r="E1720" s="68"/>
      <c r="F1720" s="68"/>
      <c r="G1720" s="100"/>
      <c r="H1720" s="91"/>
      <c r="I1720" s="91"/>
      <c r="J1720" s="68"/>
      <c r="K1720" s="69"/>
      <c r="L1720" s="102"/>
      <c r="M1720" s="102"/>
      <c r="N1720" s="68"/>
      <c r="O1720" s="68"/>
      <c r="P1720" s="106"/>
    </row>
    <row r="1721" spans="2:16" x14ac:dyDescent="0.25">
      <c r="B1721" s="68"/>
      <c r="C1721" s="68"/>
      <c r="D1721" s="68"/>
      <c r="E1721" s="68"/>
      <c r="F1721" s="68"/>
      <c r="G1721" s="100"/>
      <c r="H1721" s="91"/>
      <c r="I1721" s="91"/>
      <c r="J1721" s="68"/>
      <c r="K1721" s="69"/>
      <c r="L1721" s="102"/>
      <c r="M1721" s="102"/>
      <c r="N1721" s="68"/>
      <c r="O1721" s="68"/>
      <c r="P1721" s="106"/>
    </row>
    <row r="1722" spans="2:16" x14ac:dyDescent="0.25">
      <c r="B1722" s="68"/>
      <c r="C1722" s="68"/>
      <c r="D1722" s="68"/>
      <c r="E1722" s="68"/>
      <c r="F1722" s="68"/>
      <c r="G1722" s="100"/>
      <c r="H1722" s="91"/>
      <c r="I1722" s="91"/>
      <c r="J1722" s="68"/>
      <c r="K1722" s="69"/>
      <c r="L1722" s="102"/>
      <c r="M1722" s="102"/>
      <c r="N1722" s="68"/>
      <c r="O1722" s="68"/>
      <c r="P1722" s="106"/>
    </row>
    <row r="1723" spans="2:16" x14ac:dyDescent="0.25">
      <c r="B1723" s="68"/>
      <c r="C1723" s="68"/>
      <c r="D1723" s="68"/>
      <c r="E1723" s="68"/>
      <c r="F1723" s="68"/>
      <c r="G1723" s="100"/>
      <c r="H1723" s="91"/>
      <c r="I1723" s="91"/>
      <c r="J1723" s="68"/>
      <c r="K1723" s="69"/>
      <c r="L1723" s="102"/>
      <c r="M1723" s="102"/>
      <c r="N1723" s="68"/>
      <c r="O1723" s="68"/>
      <c r="P1723" s="106"/>
    </row>
    <row r="1724" spans="2:16" x14ac:dyDescent="0.25">
      <c r="B1724" s="68"/>
      <c r="C1724" s="68"/>
      <c r="D1724" s="68"/>
      <c r="E1724" s="68"/>
      <c r="F1724" s="68"/>
      <c r="G1724" s="100"/>
      <c r="H1724" s="91"/>
      <c r="I1724" s="91"/>
      <c r="J1724" s="68"/>
      <c r="K1724" s="69"/>
      <c r="L1724" s="102"/>
      <c r="M1724" s="102"/>
      <c r="N1724" s="68"/>
      <c r="O1724" s="68"/>
      <c r="P1724" s="106"/>
    </row>
    <row r="1725" spans="2:16" x14ac:dyDescent="0.25">
      <c r="B1725" s="68"/>
      <c r="C1725" s="68"/>
      <c r="D1725" s="68"/>
      <c r="E1725" s="68"/>
      <c r="F1725" s="68"/>
      <c r="G1725" s="100"/>
      <c r="H1725" s="91"/>
      <c r="I1725" s="91"/>
      <c r="J1725" s="68"/>
      <c r="K1725" s="69"/>
      <c r="L1725" s="102"/>
      <c r="M1725" s="102"/>
      <c r="N1725" s="68"/>
      <c r="O1725" s="68"/>
      <c r="P1725" s="106"/>
    </row>
    <row r="1726" spans="2:16" x14ac:dyDescent="0.25">
      <c r="B1726" s="68"/>
      <c r="C1726" s="68"/>
      <c r="D1726" s="68"/>
      <c r="E1726" s="68"/>
      <c r="F1726" s="68"/>
      <c r="G1726" s="100"/>
      <c r="H1726" s="91"/>
      <c r="I1726" s="91"/>
      <c r="J1726" s="68"/>
      <c r="K1726" s="69"/>
      <c r="L1726" s="102"/>
      <c r="M1726" s="102"/>
      <c r="N1726" s="68"/>
      <c r="O1726" s="68"/>
      <c r="P1726" s="106"/>
    </row>
    <row r="1727" spans="2:16" x14ac:dyDescent="0.25">
      <c r="B1727" s="68"/>
      <c r="C1727" s="68"/>
      <c r="D1727" s="68"/>
      <c r="E1727" s="68"/>
      <c r="F1727" s="68"/>
      <c r="G1727" s="100"/>
      <c r="H1727" s="91"/>
      <c r="I1727" s="91"/>
      <c r="J1727" s="68"/>
      <c r="K1727" s="69"/>
      <c r="L1727" s="102"/>
      <c r="M1727" s="102"/>
      <c r="N1727" s="68"/>
      <c r="O1727" s="68"/>
      <c r="P1727" s="106"/>
    </row>
    <row r="1728" spans="2:16" x14ac:dyDescent="0.25">
      <c r="B1728" s="68"/>
      <c r="C1728" s="68"/>
      <c r="D1728" s="68"/>
      <c r="E1728" s="68"/>
      <c r="F1728" s="68"/>
      <c r="G1728" s="100"/>
      <c r="H1728" s="91"/>
      <c r="I1728" s="91"/>
      <c r="J1728" s="68"/>
      <c r="K1728" s="69"/>
      <c r="L1728" s="102"/>
      <c r="M1728" s="102"/>
      <c r="N1728" s="68"/>
      <c r="O1728" s="68"/>
      <c r="P1728" s="106"/>
    </row>
    <row r="1729" spans="2:16" x14ac:dyDescent="0.25">
      <c r="B1729" s="68"/>
      <c r="C1729" s="68"/>
      <c r="D1729" s="68"/>
      <c r="E1729" s="68"/>
      <c r="F1729" s="68"/>
      <c r="G1729" s="100"/>
      <c r="H1729" s="91"/>
      <c r="I1729" s="91"/>
      <c r="J1729" s="68"/>
      <c r="K1729" s="69"/>
      <c r="L1729" s="102"/>
      <c r="M1729" s="102"/>
      <c r="N1729" s="68"/>
      <c r="O1729" s="68"/>
      <c r="P1729" s="106"/>
    </row>
    <row r="1730" spans="2:16" x14ac:dyDescent="0.25">
      <c r="B1730" s="68"/>
      <c r="C1730" s="68"/>
      <c r="D1730" s="68"/>
      <c r="E1730" s="68"/>
      <c r="F1730" s="68"/>
      <c r="G1730" s="100"/>
      <c r="H1730" s="91"/>
      <c r="I1730" s="91"/>
      <c r="J1730" s="68"/>
      <c r="K1730" s="69"/>
      <c r="L1730" s="102"/>
      <c r="M1730" s="102"/>
      <c r="N1730" s="68"/>
      <c r="O1730" s="68"/>
      <c r="P1730" s="106"/>
    </row>
    <row r="1731" spans="2:16" x14ac:dyDescent="0.25">
      <c r="B1731" s="68"/>
      <c r="C1731" s="68"/>
      <c r="D1731" s="68"/>
      <c r="E1731" s="68"/>
      <c r="F1731" s="68"/>
      <c r="G1731" s="100"/>
      <c r="H1731" s="91"/>
      <c r="I1731" s="91"/>
      <c r="J1731" s="68"/>
      <c r="K1731" s="69"/>
      <c r="L1731" s="102"/>
      <c r="M1731" s="102"/>
      <c r="N1731" s="68"/>
      <c r="O1731" s="68"/>
      <c r="P1731" s="106"/>
    </row>
    <row r="1732" spans="2:16" x14ac:dyDescent="0.25">
      <c r="B1732" s="68"/>
      <c r="C1732" s="68"/>
      <c r="D1732" s="68"/>
      <c r="E1732" s="68"/>
      <c r="F1732" s="68"/>
      <c r="G1732" s="100"/>
      <c r="H1732" s="91"/>
      <c r="I1732" s="91"/>
      <c r="J1732" s="68"/>
      <c r="K1732" s="69"/>
      <c r="L1732" s="102"/>
      <c r="M1732" s="102"/>
      <c r="N1732" s="68"/>
      <c r="O1732" s="68"/>
      <c r="P1732" s="106"/>
    </row>
    <row r="1733" spans="2:16" x14ac:dyDescent="0.25">
      <c r="B1733" s="68"/>
      <c r="C1733" s="68"/>
      <c r="D1733" s="68"/>
      <c r="E1733" s="68"/>
      <c r="F1733" s="68"/>
      <c r="G1733" s="100"/>
      <c r="H1733" s="91"/>
      <c r="I1733" s="91"/>
      <c r="J1733" s="68"/>
      <c r="K1733" s="69"/>
      <c r="L1733" s="102"/>
      <c r="M1733" s="102"/>
      <c r="N1733" s="68"/>
      <c r="O1733" s="68"/>
      <c r="P1733" s="106"/>
    </row>
    <row r="1734" spans="2:16" x14ac:dyDescent="0.25">
      <c r="B1734" s="68"/>
      <c r="C1734" s="68"/>
      <c r="D1734" s="68"/>
      <c r="E1734" s="68"/>
      <c r="F1734" s="68"/>
      <c r="G1734" s="100"/>
      <c r="H1734" s="91"/>
      <c r="I1734" s="91"/>
      <c r="J1734" s="68"/>
      <c r="K1734" s="69"/>
      <c r="L1734" s="102"/>
      <c r="M1734" s="102"/>
      <c r="N1734" s="68"/>
      <c r="O1734" s="68"/>
      <c r="P1734" s="106"/>
    </row>
    <row r="1735" spans="2:16" x14ac:dyDescent="0.25">
      <c r="B1735" s="68"/>
      <c r="C1735" s="68"/>
      <c r="D1735" s="68"/>
      <c r="E1735" s="68"/>
      <c r="F1735" s="68"/>
      <c r="G1735" s="100"/>
      <c r="H1735" s="91"/>
      <c r="I1735" s="91"/>
      <c r="J1735" s="68"/>
      <c r="K1735" s="69"/>
      <c r="L1735" s="102"/>
      <c r="M1735" s="102"/>
      <c r="N1735" s="68"/>
      <c r="O1735" s="68"/>
      <c r="P1735" s="106"/>
    </row>
    <row r="1736" spans="2:16" x14ac:dyDescent="0.25">
      <c r="B1736" s="68"/>
      <c r="C1736" s="68"/>
      <c r="D1736" s="68"/>
      <c r="E1736" s="68"/>
      <c r="F1736" s="68"/>
      <c r="G1736" s="100"/>
      <c r="H1736" s="91"/>
      <c r="I1736" s="91"/>
      <c r="J1736" s="68"/>
      <c r="K1736" s="69"/>
      <c r="L1736" s="102"/>
      <c r="M1736" s="102"/>
      <c r="N1736" s="68"/>
      <c r="O1736" s="68"/>
      <c r="P1736" s="106"/>
    </row>
    <row r="1737" spans="2:16" x14ac:dyDescent="0.25">
      <c r="B1737" s="68"/>
      <c r="C1737" s="68"/>
      <c r="D1737" s="68"/>
      <c r="E1737" s="68"/>
      <c r="F1737" s="68"/>
      <c r="G1737" s="100"/>
      <c r="H1737" s="91"/>
      <c r="I1737" s="91"/>
      <c r="J1737" s="68"/>
      <c r="K1737" s="69"/>
      <c r="L1737" s="102"/>
      <c r="M1737" s="102"/>
      <c r="N1737" s="68"/>
      <c r="O1737" s="68"/>
      <c r="P1737" s="106"/>
    </row>
    <row r="1738" spans="2:16" x14ac:dyDescent="0.25">
      <c r="B1738" s="68"/>
      <c r="C1738" s="68"/>
      <c r="D1738" s="68"/>
      <c r="E1738" s="68"/>
      <c r="F1738" s="68"/>
      <c r="G1738" s="100"/>
      <c r="H1738" s="91"/>
      <c r="I1738" s="91"/>
      <c r="J1738" s="68"/>
      <c r="K1738" s="69"/>
      <c r="L1738" s="102"/>
      <c r="M1738" s="102"/>
      <c r="N1738" s="68"/>
      <c r="O1738" s="68"/>
      <c r="P1738" s="106"/>
    </row>
    <row r="1739" spans="2:16" x14ac:dyDescent="0.25">
      <c r="B1739" s="68"/>
      <c r="C1739" s="68"/>
      <c r="D1739" s="68"/>
      <c r="E1739" s="68"/>
      <c r="F1739" s="68"/>
      <c r="G1739" s="100"/>
      <c r="H1739" s="91"/>
      <c r="I1739" s="91"/>
      <c r="J1739" s="68"/>
      <c r="K1739" s="69"/>
      <c r="L1739" s="102"/>
      <c r="M1739" s="102"/>
      <c r="N1739" s="68"/>
      <c r="O1739" s="68"/>
      <c r="P1739" s="106"/>
    </row>
    <row r="1740" spans="2:16" x14ac:dyDescent="0.25">
      <c r="B1740" s="68"/>
      <c r="C1740" s="68"/>
      <c r="D1740" s="68"/>
      <c r="E1740" s="68"/>
      <c r="F1740" s="68"/>
      <c r="G1740" s="100"/>
      <c r="H1740" s="91"/>
      <c r="I1740" s="91"/>
      <c r="J1740" s="68"/>
      <c r="K1740" s="69"/>
      <c r="L1740" s="102"/>
      <c r="M1740" s="102"/>
      <c r="N1740" s="68"/>
      <c r="O1740" s="68"/>
      <c r="P1740" s="106"/>
    </row>
    <row r="1741" spans="2:16" x14ac:dyDescent="0.25">
      <c r="B1741" s="68"/>
      <c r="C1741" s="68"/>
      <c r="D1741" s="68"/>
      <c r="E1741" s="68"/>
      <c r="F1741" s="68"/>
      <c r="G1741" s="100"/>
      <c r="H1741" s="91"/>
      <c r="I1741" s="91"/>
      <c r="J1741" s="68"/>
      <c r="K1741" s="69"/>
      <c r="L1741" s="102"/>
      <c r="M1741" s="102"/>
      <c r="N1741" s="68"/>
      <c r="O1741" s="68"/>
      <c r="P1741" s="106"/>
    </row>
    <row r="1742" spans="2:16" x14ac:dyDescent="0.25">
      <c r="B1742" s="68"/>
      <c r="C1742" s="68"/>
      <c r="D1742" s="68"/>
      <c r="E1742" s="68"/>
      <c r="F1742" s="68"/>
      <c r="G1742" s="100"/>
      <c r="H1742" s="91"/>
      <c r="I1742" s="91"/>
      <c r="J1742" s="68"/>
      <c r="K1742" s="69"/>
      <c r="L1742" s="102"/>
      <c r="M1742" s="102"/>
      <c r="N1742" s="68"/>
      <c r="O1742" s="68"/>
      <c r="P1742" s="106"/>
    </row>
    <row r="1743" spans="2:16" x14ac:dyDescent="0.25">
      <c r="B1743" s="68"/>
      <c r="C1743" s="68"/>
      <c r="D1743" s="68"/>
      <c r="E1743" s="68"/>
      <c r="F1743" s="68"/>
      <c r="G1743" s="100"/>
      <c r="H1743" s="91"/>
      <c r="I1743" s="91"/>
      <c r="J1743" s="68"/>
      <c r="K1743" s="69"/>
      <c r="L1743" s="102"/>
      <c r="M1743" s="102"/>
      <c r="N1743" s="68"/>
      <c r="O1743" s="68"/>
      <c r="P1743" s="106"/>
    </row>
    <row r="1744" spans="2:16" x14ac:dyDescent="0.25">
      <c r="B1744" s="68"/>
      <c r="C1744" s="68"/>
      <c r="D1744" s="68"/>
      <c r="E1744" s="68"/>
      <c r="F1744" s="68"/>
      <c r="G1744" s="100"/>
      <c r="H1744" s="91"/>
      <c r="I1744" s="91"/>
      <c r="J1744" s="68"/>
      <c r="K1744" s="69"/>
      <c r="L1744" s="102"/>
      <c r="M1744" s="102"/>
      <c r="N1744" s="68"/>
      <c r="O1744" s="68"/>
      <c r="P1744" s="106"/>
    </row>
    <row r="1745" spans="2:16" x14ac:dyDescent="0.25">
      <c r="B1745" s="68"/>
      <c r="C1745" s="68"/>
      <c r="D1745" s="68"/>
      <c r="E1745" s="68"/>
      <c r="F1745" s="68"/>
      <c r="G1745" s="100"/>
      <c r="H1745" s="91"/>
      <c r="I1745" s="91"/>
      <c r="J1745" s="68"/>
      <c r="K1745" s="69"/>
      <c r="L1745" s="102"/>
      <c r="M1745" s="102"/>
      <c r="N1745" s="68"/>
      <c r="O1745" s="68"/>
      <c r="P1745" s="106"/>
    </row>
    <row r="1746" spans="2:16" x14ac:dyDescent="0.25">
      <c r="B1746" s="68"/>
      <c r="C1746" s="68"/>
      <c r="D1746" s="68"/>
      <c r="E1746" s="68"/>
      <c r="F1746" s="68"/>
      <c r="G1746" s="100"/>
      <c r="H1746" s="91"/>
      <c r="I1746" s="91"/>
      <c r="J1746" s="68"/>
      <c r="K1746" s="69"/>
      <c r="L1746" s="102"/>
      <c r="M1746" s="102"/>
      <c r="N1746" s="68"/>
      <c r="O1746" s="68"/>
      <c r="P1746" s="106"/>
    </row>
    <row r="1747" spans="2:16" x14ac:dyDescent="0.25">
      <c r="B1747" s="68"/>
      <c r="C1747" s="68"/>
      <c r="D1747" s="68"/>
      <c r="E1747" s="68"/>
      <c r="F1747" s="68"/>
      <c r="G1747" s="100"/>
      <c r="H1747" s="91"/>
      <c r="I1747" s="91"/>
      <c r="J1747" s="68"/>
      <c r="K1747" s="69"/>
      <c r="L1747" s="102"/>
      <c r="M1747" s="102"/>
      <c r="N1747" s="68"/>
      <c r="O1747" s="68"/>
      <c r="P1747" s="106"/>
    </row>
    <row r="1748" spans="2:16" x14ac:dyDescent="0.25">
      <c r="B1748" s="68"/>
      <c r="C1748" s="68"/>
      <c r="D1748" s="68"/>
      <c r="E1748" s="68"/>
      <c r="F1748" s="68"/>
      <c r="G1748" s="100"/>
      <c r="H1748" s="91"/>
      <c r="I1748" s="91"/>
      <c r="J1748" s="68"/>
      <c r="K1748" s="69"/>
      <c r="L1748" s="102"/>
      <c r="M1748" s="102"/>
      <c r="N1748" s="68"/>
      <c r="O1748" s="68"/>
      <c r="P1748" s="106"/>
    </row>
    <row r="1749" spans="2:16" x14ac:dyDescent="0.25">
      <c r="B1749" s="68"/>
      <c r="C1749" s="68"/>
      <c r="D1749" s="68"/>
      <c r="E1749" s="68"/>
      <c r="F1749" s="68"/>
      <c r="G1749" s="100"/>
      <c r="H1749" s="91"/>
      <c r="I1749" s="91"/>
      <c r="J1749" s="68"/>
      <c r="K1749" s="69"/>
      <c r="L1749" s="102"/>
      <c r="M1749" s="102"/>
      <c r="N1749" s="68"/>
      <c r="O1749" s="68"/>
      <c r="P1749" s="106"/>
    </row>
    <row r="1750" spans="2:16" x14ac:dyDescent="0.25">
      <c r="B1750" s="68"/>
      <c r="C1750" s="68"/>
      <c r="D1750" s="68"/>
      <c r="E1750" s="68"/>
      <c r="F1750" s="68"/>
      <c r="G1750" s="100"/>
      <c r="H1750" s="91"/>
      <c r="I1750" s="91"/>
      <c r="J1750" s="68"/>
      <c r="K1750" s="69"/>
      <c r="L1750" s="102"/>
      <c r="M1750" s="102"/>
      <c r="N1750" s="68"/>
      <c r="O1750" s="68"/>
      <c r="P1750" s="106"/>
    </row>
    <row r="1751" spans="2:16" x14ac:dyDescent="0.25">
      <c r="B1751" s="68"/>
      <c r="C1751" s="68"/>
      <c r="D1751" s="68"/>
      <c r="E1751" s="68"/>
      <c r="F1751" s="68"/>
      <c r="G1751" s="100"/>
      <c r="H1751" s="91"/>
      <c r="I1751" s="91"/>
      <c r="J1751" s="68"/>
      <c r="K1751" s="69"/>
      <c r="L1751" s="102"/>
      <c r="M1751" s="102"/>
      <c r="N1751" s="68"/>
      <c r="O1751" s="68"/>
      <c r="P1751" s="106"/>
    </row>
    <row r="1752" spans="2:16" x14ac:dyDescent="0.25">
      <c r="B1752" s="68"/>
      <c r="C1752" s="68"/>
      <c r="D1752" s="68"/>
      <c r="E1752" s="68"/>
      <c r="F1752" s="68"/>
      <c r="G1752" s="100"/>
      <c r="H1752" s="91"/>
      <c r="I1752" s="91"/>
      <c r="J1752" s="68"/>
      <c r="K1752" s="69"/>
      <c r="L1752" s="102"/>
      <c r="M1752" s="102"/>
      <c r="N1752" s="68"/>
      <c r="O1752" s="68"/>
      <c r="P1752" s="106"/>
    </row>
    <row r="1753" spans="2:16" x14ac:dyDescent="0.25">
      <c r="B1753" s="68"/>
      <c r="C1753" s="68"/>
      <c r="D1753" s="68"/>
      <c r="E1753" s="68"/>
      <c r="F1753" s="68"/>
      <c r="G1753" s="100"/>
      <c r="H1753" s="91"/>
      <c r="I1753" s="91"/>
      <c r="J1753" s="68"/>
      <c r="K1753" s="69"/>
      <c r="L1753" s="102"/>
      <c r="M1753" s="102"/>
      <c r="N1753" s="68"/>
      <c r="O1753" s="68"/>
      <c r="P1753" s="106"/>
    </row>
    <row r="1754" spans="2:16" x14ac:dyDescent="0.25">
      <c r="B1754" s="68"/>
      <c r="C1754" s="68"/>
      <c r="D1754" s="68"/>
      <c r="E1754" s="68"/>
      <c r="F1754" s="68"/>
      <c r="G1754" s="100"/>
      <c r="H1754" s="91"/>
      <c r="I1754" s="91"/>
      <c r="J1754" s="68"/>
      <c r="K1754" s="69"/>
      <c r="L1754" s="102"/>
      <c r="M1754" s="102"/>
      <c r="N1754" s="68"/>
      <c r="O1754" s="68"/>
      <c r="P1754" s="106"/>
    </row>
    <row r="1755" spans="2:16" x14ac:dyDescent="0.25">
      <c r="B1755" s="68"/>
      <c r="C1755" s="68"/>
      <c r="D1755" s="68"/>
      <c r="E1755" s="68"/>
      <c r="F1755" s="68"/>
      <c r="G1755" s="100"/>
      <c r="H1755" s="91"/>
      <c r="I1755" s="91"/>
      <c r="J1755" s="68"/>
      <c r="K1755" s="69"/>
      <c r="L1755" s="102"/>
      <c r="M1755" s="102"/>
      <c r="N1755" s="68"/>
      <c r="O1755" s="68"/>
      <c r="P1755" s="106"/>
    </row>
    <row r="1756" spans="2:16" x14ac:dyDescent="0.25">
      <c r="B1756" s="68"/>
      <c r="C1756" s="68"/>
      <c r="D1756" s="68"/>
      <c r="E1756" s="68"/>
      <c r="F1756" s="68"/>
      <c r="G1756" s="100"/>
      <c r="H1756" s="91"/>
      <c r="I1756" s="91"/>
      <c r="J1756" s="68"/>
      <c r="K1756" s="69"/>
      <c r="L1756" s="102"/>
      <c r="M1756" s="102"/>
      <c r="N1756" s="68"/>
      <c r="O1756" s="68"/>
      <c r="P1756" s="106"/>
    </row>
    <row r="1757" spans="2:16" x14ac:dyDescent="0.25">
      <c r="B1757" s="68"/>
      <c r="C1757" s="68"/>
      <c r="D1757" s="68"/>
      <c r="E1757" s="68"/>
      <c r="F1757" s="68"/>
      <c r="G1757" s="100"/>
      <c r="H1757" s="91"/>
      <c r="I1757" s="91"/>
      <c r="J1757" s="68"/>
      <c r="K1757" s="69"/>
      <c r="L1757" s="102"/>
      <c r="M1757" s="102"/>
      <c r="N1757" s="68"/>
      <c r="O1757" s="68"/>
      <c r="P1757" s="106"/>
    </row>
    <row r="1758" spans="2:16" x14ac:dyDescent="0.25">
      <c r="B1758" s="68"/>
      <c r="C1758" s="68"/>
      <c r="D1758" s="68"/>
      <c r="E1758" s="68"/>
      <c r="F1758" s="68"/>
      <c r="G1758" s="100"/>
      <c r="H1758" s="91"/>
      <c r="I1758" s="91"/>
      <c r="J1758" s="68"/>
      <c r="K1758" s="69"/>
      <c r="L1758" s="102"/>
      <c r="M1758" s="102"/>
      <c r="N1758" s="68"/>
      <c r="O1758" s="68"/>
      <c r="P1758" s="106"/>
    </row>
    <row r="1759" spans="2:16" x14ac:dyDescent="0.25">
      <c r="B1759" s="68"/>
      <c r="C1759" s="68"/>
      <c r="D1759" s="68"/>
      <c r="E1759" s="68"/>
      <c r="F1759" s="68"/>
      <c r="G1759" s="100"/>
      <c r="H1759" s="91"/>
      <c r="I1759" s="91"/>
      <c r="J1759" s="68"/>
      <c r="K1759" s="69"/>
      <c r="L1759" s="102"/>
      <c r="M1759" s="102"/>
      <c r="N1759" s="68"/>
      <c r="O1759" s="68"/>
      <c r="P1759" s="106"/>
    </row>
    <row r="1760" spans="2:16" x14ac:dyDescent="0.25">
      <c r="B1760" s="68"/>
      <c r="C1760" s="68"/>
      <c r="D1760" s="68"/>
      <c r="E1760" s="68"/>
      <c r="F1760" s="68"/>
      <c r="G1760" s="100"/>
      <c r="H1760" s="91"/>
      <c r="I1760" s="91"/>
      <c r="J1760" s="68"/>
      <c r="K1760" s="69"/>
      <c r="L1760" s="102"/>
      <c r="M1760" s="102"/>
      <c r="N1760" s="68"/>
      <c r="O1760" s="68"/>
      <c r="P1760" s="106"/>
    </row>
    <row r="1761" spans="2:16" x14ac:dyDescent="0.25">
      <c r="B1761" s="68"/>
      <c r="C1761" s="68"/>
      <c r="D1761" s="68"/>
      <c r="E1761" s="68"/>
      <c r="F1761" s="68"/>
      <c r="G1761" s="100"/>
      <c r="H1761" s="91"/>
      <c r="I1761" s="91"/>
      <c r="J1761" s="68"/>
      <c r="K1761" s="69"/>
      <c r="L1761" s="102"/>
      <c r="M1761" s="102"/>
      <c r="N1761" s="68"/>
      <c r="O1761" s="68"/>
      <c r="P1761" s="106"/>
    </row>
    <row r="1762" spans="2:16" x14ac:dyDescent="0.25">
      <c r="B1762" s="68"/>
      <c r="C1762" s="68"/>
      <c r="D1762" s="68"/>
      <c r="E1762" s="68"/>
      <c r="F1762" s="68"/>
      <c r="G1762" s="100"/>
      <c r="H1762" s="91"/>
      <c r="I1762" s="91"/>
      <c r="J1762" s="68"/>
      <c r="K1762" s="69"/>
      <c r="L1762" s="102"/>
      <c r="M1762" s="102"/>
      <c r="N1762" s="68"/>
      <c r="O1762" s="68"/>
      <c r="P1762" s="106"/>
    </row>
    <row r="1763" spans="2:16" x14ac:dyDescent="0.25">
      <c r="B1763" s="68"/>
      <c r="C1763" s="68"/>
      <c r="D1763" s="68"/>
      <c r="E1763" s="68"/>
      <c r="F1763" s="68"/>
      <c r="G1763" s="100"/>
      <c r="H1763" s="91"/>
      <c r="I1763" s="91"/>
      <c r="J1763" s="68"/>
      <c r="K1763" s="69"/>
      <c r="L1763" s="102"/>
      <c r="M1763" s="102"/>
      <c r="N1763" s="68"/>
      <c r="O1763" s="68"/>
      <c r="P1763" s="106"/>
    </row>
    <row r="1764" spans="2:16" x14ac:dyDescent="0.25">
      <c r="B1764" s="68"/>
      <c r="C1764" s="68"/>
      <c r="D1764" s="68"/>
      <c r="E1764" s="68"/>
      <c r="F1764" s="68"/>
      <c r="G1764" s="100"/>
      <c r="H1764" s="91"/>
      <c r="I1764" s="91"/>
      <c r="J1764" s="68"/>
      <c r="K1764" s="69"/>
      <c r="L1764" s="102"/>
      <c r="M1764" s="102"/>
      <c r="N1764" s="68"/>
      <c r="O1764" s="68"/>
      <c r="P1764" s="106"/>
    </row>
    <row r="1765" spans="2:16" x14ac:dyDescent="0.25">
      <c r="B1765" s="68"/>
      <c r="C1765" s="68"/>
      <c r="D1765" s="68"/>
      <c r="E1765" s="68"/>
      <c r="F1765" s="68"/>
      <c r="G1765" s="100"/>
      <c r="H1765" s="91"/>
      <c r="I1765" s="91"/>
      <c r="J1765" s="68"/>
      <c r="K1765" s="69"/>
      <c r="L1765" s="102"/>
      <c r="M1765" s="102"/>
      <c r="N1765" s="68"/>
      <c r="O1765" s="68"/>
      <c r="P1765" s="106"/>
    </row>
    <row r="1766" spans="2:16" x14ac:dyDescent="0.25">
      <c r="B1766" s="68"/>
      <c r="C1766" s="68"/>
      <c r="D1766" s="68"/>
      <c r="E1766" s="68"/>
      <c r="F1766" s="68"/>
      <c r="G1766" s="100"/>
      <c r="H1766" s="91"/>
      <c r="I1766" s="91"/>
      <c r="J1766" s="68"/>
      <c r="K1766" s="69"/>
      <c r="L1766" s="102"/>
      <c r="M1766" s="102"/>
      <c r="N1766" s="68"/>
      <c r="O1766" s="68"/>
      <c r="P1766" s="106"/>
    </row>
    <row r="1767" spans="2:16" x14ac:dyDescent="0.25">
      <c r="B1767" s="68"/>
      <c r="C1767" s="68"/>
      <c r="D1767" s="68"/>
      <c r="E1767" s="68"/>
      <c r="F1767" s="68"/>
      <c r="G1767" s="100"/>
      <c r="H1767" s="91"/>
      <c r="I1767" s="91"/>
      <c r="J1767" s="68"/>
      <c r="K1767" s="69"/>
      <c r="L1767" s="102"/>
      <c r="M1767" s="102"/>
      <c r="N1767" s="68"/>
      <c r="O1767" s="68"/>
      <c r="P1767" s="106"/>
    </row>
    <row r="1768" spans="2:16" x14ac:dyDescent="0.25">
      <c r="B1768" s="68"/>
      <c r="C1768" s="68"/>
      <c r="D1768" s="68"/>
      <c r="E1768" s="68"/>
      <c r="F1768" s="68"/>
      <c r="G1768" s="100"/>
      <c r="H1768" s="91"/>
      <c r="I1768" s="91"/>
      <c r="J1768" s="68"/>
      <c r="K1768" s="69"/>
      <c r="L1768" s="102"/>
      <c r="M1768" s="102"/>
      <c r="N1768" s="68"/>
      <c r="O1768" s="68"/>
      <c r="P1768" s="106"/>
    </row>
    <row r="1769" spans="2:16" x14ac:dyDescent="0.25">
      <c r="B1769" s="68"/>
      <c r="C1769" s="68"/>
      <c r="D1769" s="68"/>
      <c r="E1769" s="68"/>
      <c r="F1769" s="68"/>
      <c r="G1769" s="100"/>
      <c r="H1769" s="91"/>
      <c r="I1769" s="91"/>
      <c r="J1769" s="68"/>
      <c r="K1769" s="69"/>
      <c r="L1769" s="102"/>
      <c r="M1769" s="102"/>
      <c r="N1769" s="68"/>
      <c r="O1769" s="68"/>
      <c r="P1769" s="106"/>
    </row>
    <row r="1770" spans="2:16" x14ac:dyDescent="0.25">
      <c r="B1770" s="68"/>
      <c r="C1770" s="68"/>
      <c r="D1770" s="68"/>
      <c r="E1770" s="68"/>
      <c r="F1770" s="68"/>
      <c r="G1770" s="100"/>
      <c r="H1770" s="91"/>
      <c r="I1770" s="91"/>
      <c r="J1770" s="68"/>
      <c r="K1770" s="69"/>
      <c r="L1770" s="102"/>
      <c r="M1770" s="102"/>
      <c r="N1770" s="68"/>
      <c r="O1770" s="68"/>
      <c r="P1770" s="106"/>
    </row>
    <row r="1771" spans="2:16" x14ac:dyDescent="0.25">
      <c r="B1771" s="68"/>
      <c r="C1771" s="68"/>
      <c r="D1771" s="68"/>
      <c r="E1771" s="68"/>
      <c r="F1771" s="68"/>
      <c r="G1771" s="100"/>
      <c r="H1771" s="91"/>
      <c r="I1771" s="91"/>
      <c r="J1771" s="68"/>
      <c r="K1771" s="69"/>
      <c r="L1771" s="102"/>
      <c r="M1771" s="102"/>
      <c r="N1771" s="68"/>
      <c r="O1771" s="68"/>
      <c r="P1771" s="106"/>
    </row>
    <row r="1772" spans="2:16" x14ac:dyDescent="0.25">
      <c r="B1772" s="68"/>
      <c r="C1772" s="68"/>
      <c r="D1772" s="68"/>
      <c r="E1772" s="68"/>
      <c r="F1772" s="68"/>
      <c r="G1772" s="100"/>
      <c r="H1772" s="91"/>
      <c r="I1772" s="91"/>
      <c r="J1772" s="68"/>
      <c r="K1772" s="69"/>
      <c r="L1772" s="102"/>
      <c r="M1772" s="102"/>
      <c r="N1772" s="68"/>
      <c r="O1772" s="68"/>
      <c r="P1772" s="106"/>
    </row>
    <row r="1773" spans="2:16" x14ac:dyDescent="0.25">
      <c r="B1773" s="68"/>
      <c r="C1773" s="68"/>
      <c r="D1773" s="68"/>
      <c r="E1773" s="68"/>
      <c r="F1773" s="68"/>
      <c r="G1773" s="100"/>
      <c r="H1773" s="91"/>
      <c r="I1773" s="91"/>
      <c r="J1773" s="68"/>
      <c r="K1773" s="69"/>
      <c r="L1773" s="102"/>
      <c r="M1773" s="102"/>
      <c r="N1773" s="68"/>
      <c r="O1773" s="68"/>
      <c r="P1773" s="106"/>
    </row>
    <row r="1774" spans="2:16" x14ac:dyDescent="0.25">
      <c r="B1774" s="68"/>
      <c r="C1774" s="68"/>
      <c r="D1774" s="68"/>
      <c r="E1774" s="68"/>
      <c r="F1774" s="68"/>
      <c r="G1774" s="100"/>
      <c r="H1774" s="91"/>
      <c r="I1774" s="91"/>
      <c r="J1774" s="68"/>
      <c r="K1774" s="69"/>
      <c r="L1774" s="102"/>
      <c r="M1774" s="102"/>
      <c r="N1774" s="68"/>
      <c r="O1774" s="68"/>
      <c r="P1774" s="106"/>
    </row>
    <row r="1775" spans="2:16" x14ac:dyDescent="0.25">
      <c r="B1775" s="68"/>
      <c r="C1775" s="68"/>
      <c r="D1775" s="68"/>
      <c r="E1775" s="68"/>
      <c r="F1775" s="68"/>
      <c r="G1775" s="100"/>
      <c r="H1775" s="91"/>
      <c r="I1775" s="91"/>
      <c r="J1775" s="68"/>
      <c r="K1775" s="69"/>
      <c r="L1775" s="102"/>
      <c r="M1775" s="102"/>
      <c r="N1775" s="68"/>
      <c r="O1775" s="68"/>
      <c r="P1775" s="106"/>
    </row>
    <row r="1776" spans="2:16" x14ac:dyDescent="0.25">
      <c r="B1776" s="68"/>
      <c r="C1776" s="68"/>
      <c r="D1776" s="68"/>
      <c r="E1776" s="68"/>
      <c r="F1776" s="68"/>
      <c r="G1776" s="100"/>
      <c r="H1776" s="91"/>
      <c r="I1776" s="91"/>
      <c r="J1776" s="68"/>
      <c r="K1776" s="69"/>
      <c r="L1776" s="102"/>
      <c r="M1776" s="102"/>
      <c r="N1776" s="68"/>
      <c r="O1776" s="68"/>
      <c r="P1776" s="106"/>
    </row>
    <row r="1777" spans="2:16" x14ac:dyDescent="0.25">
      <c r="B1777" s="68"/>
      <c r="C1777" s="68"/>
      <c r="D1777" s="68"/>
      <c r="E1777" s="68"/>
      <c r="F1777" s="68"/>
      <c r="G1777" s="100"/>
      <c r="H1777" s="91"/>
      <c r="I1777" s="91"/>
      <c r="J1777" s="68"/>
      <c r="K1777" s="69"/>
      <c r="L1777" s="102"/>
      <c r="M1777" s="102"/>
      <c r="N1777" s="68"/>
      <c r="O1777" s="68"/>
      <c r="P1777" s="106"/>
    </row>
    <row r="1778" spans="2:16" x14ac:dyDescent="0.25">
      <c r="B1778" s="68"/>
      <c r="C1778" s="68"/>
      <c r="D1778" s="68"/>
      <c r="E1778" s="68"/>
      <c r="F1778" s="68"/>
      <c r="G1778" s="100"/>
      <c r="H1778" s="91"/>
      <c r="I1778" s="91"/>
      <c r="J1778" s="68"/>
      <c r="K1778" s="69"/>
      <c r="L1778" s="102"/>
      <c r="M1778" s="102"/>
      <c r="N1778" s="68"/>
      <c r="O1778" s="68"/>
      <c r="P1778" s="106"/>
    </row>
    <row r="1779" spans="2:16" x14ac:dyDescent="0.25">
      <c r="B1779" s="68"/>
      <c r="C1779" s="68"/>
      <c r="D1779" s="68"/>
      <c r="E1779" s="68"/>
      <c r="F1779" s="68"/>
      <c r="G1779" s="100"/>
      <c r="H1779" s="91"/>
      <c r="I1779" s="91"/>
      <c r="J1779" s="68"/>
      <c r="K1779" s="69"/>
      <c r="L1779" s="102"/>
      <c r="M1779" s="102"/>
      <c r="N1779" s="68"/>
      <c r="O1779" s="68"/>
      <c r="P1779" s="106"/>
    </row>
    <row r="1780" spans="2:16" x14ac:dyDescent="0.25">
      <c r="B1780" s="68"/>
      <c r="C1780" s="68"/>
      <c r="D1780" s="68"/>
      <c r="E1780" s="68"/>
      <c r="F1780" s="68"/>
      <c r="G1780" s="100"/>
      <c r="H1780" s="91"/>
      <c r="I1780" s="91"/>
      <c r="J1780" s="68"/>
      <c r="K1780" s="69"/>
      <c r="L1780" s="102"/>
      <c r="M1780" s="102"/>
      <c r="N1780" s="68"/>
      <c r="O1780" s="68"/>
      <c r="P1780" s="106"/>
    </row>
    <row r="1781" spans="2:16" x14ac:dyDescent="0.25">
      <c r="B1781" s="68"/>
      <c r="C1781" s="68"/>
      <c r="D1781" s="68"/>
      <c r="E1781" s="68"/>
      <c r="F1781" s="68"/>
      <c r="G1781" s="100"/>
      <c r="H1781" s="91"/>
      <c r="I1781" s="91"/>
      <c r="J1781" s="68"/>
      <c r="K1781" s="69"/>
      <c r="L1781" s="102"/>
      <c r="M1781" s="102"/>
      <c r="N1781" s="68"/>
      <c r="O1781" s="68"/>
      <c r="P1781" s="106"/>
    </row>
    <row r="1782" spans="2:16" x14ac:dyDescent="0.25">
      <c r="B1782" s="68"/>
      <c r="C1782" s="68"/>
      <c r="D1782" s="68"/>
      <c r="E1782" s="68"/>
      <c r="F1782" s="68"/>
      <c r="G1782" s="100"/>
      <c r="H1782" s="91"/>
      <c r="I1782" s="91"/>
      <c r="J1782" s="68"/>
      <c r="K1782" s="69"/>
      <c r="L1782" s="102"/>
      <c r="M1782" s="102"/>
      <c r="N1782" s="68"/>
      <c r="O1782" s="68"/>
      <c r="P1782" s="106"/>
    </row>
    <row r="1783" spans="2:16" x14ac:dyDescent="0.25">
      <c r="B1783" s="68"/>
      <c r="C1783" s="68"/>
      <c r="D1783" s="68"/>
      <c r="E1783" s="68"/>
      <c r="F1783" s="68"/>
      <c r="G1783" s="100"/>
      <c r="H1783" s="91"/>
      <c r="I1783" s="91"/>
      <c r="J1783" s="68"/>
      <c r="K1783" s="69"/>
      <c r="L1783" s="102"/>
      <c r="M1783" s="102"/>
      <c r="N1783" s="68"/>
      <c r="O1783" s="68"/>
      <c r="P1783" s="106"/>
    </row>
    <row r="1784" spans="2:16" x14ac:dyDescent="0.25">
      <c r="B1784" s="68"/>
      <c r="C1784" s="68"/>
      <c r="D1784" s="68"/>
      <c r="E1784" s="68"/>
      <c r="F1784" s="68"/>
      <c r="G1784" s="100"/>
      <c r="H1784" s="91"/>
      <c r="I1784" s="91"/>
      <c r="J1784" s="68"/>
      <c r="K1784" s="69"/>
      <c r="L1784" s="102"/>
      <c r="M1784" s="102"/>
      <c r="N1784" s="68"/>
      <c r="O1784" s="68"/>
      <c r="P1784" s="106"/>
    </row>
    <row r="1785" spans="2:16" x14ac:dyDescent="0.25">
      <c r="B1785" s="68"/>
      <c r="C1785" s="68"/>
      <c r="D1785" s="68"/>
      <c r="E1785" s="68"/>
      <c r="F1785" s="68"/>
      <c r="G1785" s="100"/>
      <c r="H1785" s="91"/>
      <c r="I1785" s="91"/>
      <c r="J1785" s="68"/>
      <c r="K1785" s="69"/>
      <c r="L1785" s="102"/>
      <c r="M1785" s="102"/>
      <c r="N1785" s="68"/>
      <c r="O1785" s="68"/>
      <c r="P1785" s="106"/>
    </row>
    <row r="1786" spans="2:16" x14ac:dyDescent="0.25">
      <c r="B1786" s="68"/>
      <c r="C1786" s="68"/>
      <c r="D1786" s="68"/>
      <c r="E1786" s="68"/>
      <c r="F1786" s="68"/>
      <c r="G1786" s="100"/>
      <c r="H1786" s="91"/>
      <c r="I1786" s="91"/>
      <c r="J1786" s="68"/>
      <c r="K1786" s="69"/>
      <c r="L1786" s="102"/>
      <c r="M1786" s="102"/>
      <c r="N1786" s="68"/>
      <c r="O1786" s="68"/>
      <c r="P1786" s="106"/>
    </row>
    <row r="1787" spans="2:16" x14ac:dyDescent="0.25">
      <c r="B1787" s="68"/>
      <c r="C1787" s="68"/>
      <c r="D1787" s="68"/>
      <c r="E1787" s="68"/>
      <c r="F1787" s="68"/>
      <c r="G1787" s="100"/>
      <c r="H1787" s="91"/>
      <c r="I1787" s="91"/>
      <c r="J1787" s="68"/>
      <c r="K1787" s="69"/>
      <c r="L1787" s="102"/>
      <c r="M1787" s="102"/>
      <c r="N1787" s="68"/>
      <c r="O1787" s="68"/>
      <c r="P1787" s="106"/>
    </row>
    <row r="1788" spans="2:16" x14ac:dyDescent="0.25">
      <c r="B1788" s="68"/>
      <c r="C1788" s="68"/>
      <c r="D1788" s="68"/>
      <c r="E1788" s="68"/>
      <c r="F1788" s="68"/>
      <c r="G1788" s="100"/>
      <c r="H1788" s="91"/>
      <c r="I1788" s="91"/>
      <c r="J1788" s="68"/>
      <c r="K1788" s="69"/>
      <c r="L1788" s="102"/>
      <c r="M1788" s="102"/>
      <c r="N1788" s="68"/>
      <c r="O1788" s="68"/>
      <c r="P1788" s="106"/>
    </row>
    <row r="1789" spans="2:16" x14ac:dyDescent="0.25">
      <c r="B1789" s="68"/>
      <c r="C1789" s="68"/>
      <c r="D1789" s="68"/>
      <c r="E1789" s="68"/>
      <c r="F1789" s="68"/>
      <c r="G1789" s="100"/>
      <c r="H1789" s="91"/>
      <c r="I1789" s="91"/>
      <c r="J1789" s="68"/>
      <c r="K1789" s="69"/>
      <c r="L1789" s="102"/>
      <c r="M1789" s="102"/>
      <c r="N1789" s="68"/>
      <c r="O1789" s="68"/>
      <c r="P1789" s="106"/>
    </row>
    <row r="1790" spans="2:16" x14ac:dyDescent="0.25">
      <c r="B1790" s="68"/>
      <c r="C1790" s="68"/>
      <c r="D1790" s="68"/>
      <c r="E1790" s="68"/>
      <c r="F1790" s="68"/>
      <c r="G1790" s="100"/>
      <c r="H1790" s="91"/>
      <c r="I1790" s="91"/>
      <c r="J1790" s="68"/>
      <c r="K1790" s="69"/>
      <c r="L1790" s="102"/>
      <c r="M1790" s="102"/>
      <c r="N1790" s="68"/>
      <c r="O1790" s="68"/>
      <c r="P1790" s="106"/>
    </row>
    <row r="1791" spans="2:16" x14ac:dyDescent="0.25">
      <c r="B1791" s="68"/>
      <c r="C1791" s="68"/>
      <c r="D1791" s="68"/>
      <c r="E1791" s="68"/>
      <c r="F1791" s="68"/>
      <c r="G1791" s="100"/>
      <c r="H1791" s="91"/>
      <c r="I1791" s="91"/>
      <c r="J1791" s="68"/>
      <c r="K1791" s="69"/>
      <c r="L1791" s="102"/>
      <c r="M1791" s="102"/>
      <c r="N1791" s="68"/>
      <c r="O1791" s="68"/>
      <c r="P1791" s="106"/>
    </row>
    <row r="1792" spans="2:16" x14ac:dyDescent="0.25">
      <c r="B1792" s="68"/>
      <c r="C1792" s="68"/>
      <c r="D1792" s="68"/>
      <c r="E1792" s="68"/>
      <c r="F1792" s="68"/>
      <c r="G1792" s="100"/>
      <c r="H1792" s="91"/>
      <c r="I1792" s="91"/>
      <c r="J1792" s="68"/>
      <c r="K1792" s="69"/>
      <c r="L1792" s="102"/>
      <c r="M1792" s="102"/>
      <c r="N1792" s="68"/>
      <c r="O1792" s="68"/>
      <c r="P1792" s="106"/>
    </row>
    <row r="1793" spans="2:16" x14ac:dyDescent="0.25">
      <c r="B1793" s="68"/>
      <c r="C1793" s="68"/>
      <c r="D1793" s="68"/>
      <c r="E1793" s="68"/>
      <c r="F1793" s="68"/>
      <c r="G1793" s="100"/>
      <c r="H1793" s="91"/>
      <c r="I1793" s="91"/>
      <c r="J1793" s="68"/>
      <c r="K1793" s="69"/>
      <c r="L1793" s="102"/>
      <c r="M1793" s="102"/>
      <c r="N1793" s="68"/>
      <c r="O1793" s="68"/>
      <c r="P1793" s="106"/>
    </row>
    <row r="1794" spans="2:16" x14ac:dyDescent="0.25">
      <c r="B1794" s="68"/>
      <c r="C1794" s="68"/>
      <c r="D1794" s="68"/>
      <c r="E1794" s="68"/>
      <c r="F1794" s="68"/>
      <c r="G1794" s="100"/>
      <c r="H1794" s="91"/>
      <c r="I1794" s="91"/>
      <c r="J1794" s="68"/>
      <c r="K1794" s="69"/>
      <c r="L1794" s="102"/>
      <c r="M1794" s="102"/>
      <c r="N1794" s="68"/>
      <c r="O1794" s="68"/>
      <c r="P1794" s="106"/>
    </row>
    <row r="1795" spans="2:16" x14ac:dyDescent="0.25">
      <c r="B1795" s="68"/>
      <c r="C1795" s="68"/>
      <c r="D1795" s="68"/>
      <c r="E1795" s="68"/>
      <c r="F1795" s="68"/>
      <c r="G1795" s="100"/>
      <c r="H1795" s="91"/>
      <c r="I1795" s="91"/>
      <c r="J1795" s="68"/>
      <c r="K1795" s="69"/>
      <c r="L1795" s="102"/>
      <c r="M1795" s="102"/>
      <c r="N1795" s="68"/>
      <c r="O1795" s="68"/>
      <c r="P1795" s="106"/>
    </row>
    <row r="1796" spans="2:16" x14ac:dyDescent="0.25">
      <c r="B1796" s="68"/>
      <c r="C1796" s="68"/>
      <c r="D1796" s="68"/>
      <c r="E1796" s="68"/>
      <c r="F1796" s="68"/>
      <c r="G1796" s="100"/>
      <c r="H1796" s="91"/>
      <c r="I1796" s="91"/>
      <c r="J1796" s="68"/>
      <c r="K1796" s="69"/>
      <c r="L1796" s="102"/>
      <c r="M1796" s="102"/>
      <c r="N1796" s="68"/>
      <c r="O1796" s="68"/>
      <c r="P1796" s="106"/>
    </row>
    <row r="1797" spans="2:16" x14ac:dyDescent="0.25">
      <c r="B1797" s="68"/>
      <c r="C1797" s="68"/>
      <c r="D1797" s="68"/>
      <c r="E1797" s="68"/>
      <c r="F1797" s="68"/>
      <c r="G1797" s="100"/>
      <c r="H1797" s="91"/>
      <c r="I1797" s="91"/>
      <c r="J1797" s="68"/>
      <c r="K1797" s="69"/>
      <c r="L1797" s="102"/>
      <c r="M1797" s="102"/>
      <c r="N1797" s="68"/>
      <c r="O1797" s="68"/>
      <c r="P1797" s="106"/>
    </row>
    <row r="1798" spans="2:16" x14ac:dyDescent="0.25">
      <c r="B1798" s="68"/>
      <c r="C1798" s="68"/>
      <c r="D1798" s="68"/>
      <c r="E1798" s="68"/>
      <c r="F1798" s="68"/>
      <c r="G1798" s="100"/>
      <c r="H1798" s="91"/>
      <c r="I1798" s="91"/>
      <c r="J1798" s="68"/>
      <c r="K1798" s="69"/>
      <c r="L1798" s="102"/>
      <c r="M1798" s="102"/>
      <c r="N1798" s="68"/>
      <c r="O1798" s="68"/>
      <c r="P1798" s="106"/>
    </row>
    <row r="1799" spans="2:16" x14ac:dyDescent="0.25">
      <c r="B1799" s="68"/>
      <c r="C1799" s="68"/>
      <c r="D1799" s="68"/>
      <c r="E1799" s="68"/>
      <c r="F1799" s="68"/>
      <c r="G1799" s="100"/>
      <c r="H1799" s="91"/>
      <c r="I1799" s="91"/>
      <c r="J1799" s="68"/>
      <c r="K1799" s="69"/>
      <c r="L1799" s="102"/>
      <c r="M1799" s="102"/>
      <c r="N1799" s="68"/>
      <c r="O1799" s="68"/>
      <c r="P1799" s="106"/>
    </row>
    <row r="1800" spans="2:16" x14ac:dyDescent="0.25">
      <c r="B1800" s="68"/>
      <c r="C1800" s="68"/>
      <c r="D1800" s="68"/>
      <c r="E1800" s="68"/>
      <c r="F1800" s="68"/>
      <c r="G1800" s="100"/>
      <c r="H1800" s="91"/>
      <c r="I1800" s="91"/>
      <c r="J1800" s="68"/>
      <c r="K1800" s="69"/>
      <c r="L1800" s="102"/>
      <c r="M1800" s="102"/>
      <c r="N1800" s="68"/>
      <c r="O1800" s="68"/>
      <c r="P1800" s="106"/>
    </row>
    <row r="1801" spans="2:16" x14ac:dyDescent="0.25">
      <c r="B1801" s="68"/>
      <c r="C1801" s="68"/>
      <c r="D1801" s="68"/>
      <c r="E1801" s="68"/>
      <c r="F1801" s="68"/>
      <c r="G1801" s="100"/>
      <c r="H1801" s="91"/>
      <c r="I1801" s="91"/>
      <c r="J1801" s="68"/>
      <c r="K1801" s="69"/>
      <c r="L1801" s="102"/>
      <c r="M1801" s="102"/>
      <c r="N1801" s="68"/>
      <c r="O1801" s="68"/>
      <c r="P1801" s="106"/>
    </row>
    <row r="1802" spans="2:16" x14ac:dyDescent="0.25">
      <c r="B1802" s="68"/>
      <c r="C1802" s="68"/>
      <c r="D1802" s="68"/>
      <c r="E1802" s="68"/>
      <c r="F1802" s="68"/>
      <c r="G1802" s="100"/>
      <c r="H1802" s="91"/>
      <c r="I1802" s="91"/>
      <c r="J1802" s="68"/>
      <c r="K1802" s="69"/>
      <c r="L1802" s="102"/>
      <c r="M1802" s="102"/>
      <c r="N1802" s="68"/>
      <c r="O1802" s="68"/>
      <c r="P1802" s="106"/>
    </row>
    <row r="1803" spans="2:16" x14ac:dyDescent="0.25">
      <c r="B1803" s="68"/>
      <c r="C1803" s="68"/>
      <c r="D1803" s="68"/>
      <c r="E1803" s="68"/>
      <c r="F1803" s="68"/>
      <c r="G1803" s="100"/>
      <c r="H1803" s="91"/>
      <c r="I1803" s="91"/>
      <c r="J1803" s="68"/>
      <c r="K1803" s="69"/>
      <c r="L1803" s="102"/>
      <c r="M1803" s="102"/>
      <c r="N1803" s="68"/>
      <c r="O1803" s="68"/>
      <c r="P1803" s="106"/>
    </row>
    <row r="1804" spans="2:16" x14ac:dyDescent="0.25">
      <c r="B1804" s="68"/>
      <c r="C1804" s="68"/>
      <c r="D1804" s="68"/>
      <c r="E1804" s="68"/>
      <c r="F1804" s="68"/>
      <c r="G1804" s="100"/>
      <c r="H1804" s="91"/>
      <c r="I1804" s="91"/>
      <c r="J1804" s="68"/>
      <c r="K1804" s="69"/>
      <c r="L1804" s="102"/>
      <c r="M1804" s="102"/>
      <c r="N1804" s="68"/>
      <c r="O1804" s="68"/>
      <c r="P1804" s="106"/>
    </row>
    <row r="1805" spans="2:16" x14ac:dyDescent="0.25">
      <c r="B1805" s="68"/>
      <c r="C1805" s="68"/>
      <c r="D1805" s="68"/>
      <c r="E1805" s="68"/>
      <c r="F1805" s="68"/>
      <c r="G1805" s="100"/>
      <c r="H1805" s="91"/>
      <c r="I1805" s="91"/>
      <c r="J1805" s="68"/>
      <c r="K1805" s="69"/>
      <c r="L1805" s="102"/>
      <c r="M1805" s="102"/>
      <c r="N1805" s="68"/>
      <c r="O1805" s="68"/>
      <c r="P1805" s="106"/>
    </row>
    <row r="1806" spans="2:16" x14ac:dyDescent="0.25">
      <c r="B1806" s="68"/>
      <c r="C1806" s="68"/>
      <c r="D1806" s="68"/>
      <c r="E1806" s="68"/>
      <c r="F1806" s="68"/>
      <c r="G1806" s="100"/>
      <c r="H1806" s="91"/>
      <c r="I1806" s="91"/>
      <c r="J1806" s="68"/>
      <c r="K1806" s="69"/>
      <c r="L1806" s="102"/>
      <c r="M1806" s="102"/>
      <c r="N1806" s="68"/>
      <c r="O1806" s="68"/>
      <c r="P1806" s="106"/>
    </row>
    <row r="1807" spans="2:16" x14ac:dyDescent="0.25">
      <c r="B1807" s="68"/>
      <c r="C1807" s="68"/>
      <c r="D1807" s="68"/>
      <c r="E1807" s="68"/>
      <c r="F1807" s="68"/>
      <c r="G1807" s="100"/>
      <c r="H1807" s="91"/>
      <c r="I1807" s="91"/>
      <c r="J1807" s="68"/>
      <c r="K1807" s="69"/>
      <c r="L1807" s="102"/>
      <c r="M1807" s="102"/>
      <c r="N1807" s="68"/>
      <c r="O1807" s="68"/>
      <c r="P1807" s="106"/>
    </row>
    <row r="1808" spans="2:16" x14ac:dyDescent="0.25">
      <c r="B1808" s="68"/>
      <c r="C1808" s="68"/>
      <c r="D1808" s="68"/>
      <c r="E1808" s="68"/>
      <c r="F1808" s="68"/>
      <c r="G1808" s="100"/>
      <c r="H1808" s="91"/>
      <c r="I1808" s="91"/>
      <c r="J1808" s="68"/>
      <c r="K1808" s="69"/>
      <c r="L1808" s="102"/>
      <c r="M1808" s="102"/>
      <c r="N1808" s="68"/>
      <c r="O1808" s="68"/>
      <c r="P1808" s="106"/>
    </row>
    <row r="1809" spans="2:16" x14ac:dyDescent="0.25">
      <c r="B1809" s="68"/>
      <c r="C1809" s="68"/>
      <c r="D1809" s="68"/>
      <c r="E1809" s="68"/>
      <c r="F1809" s="68"/>
      <c r="G1809" s="100"/>
      <c r="H1809" s="91"/>
      <c r="I1809" s="91"/>
      <c r="J1809" s="68"/>
      <c r="K1809" s="69"/>
      <c r="L1809" s="102"/>
      <c r="M1809" s="102"/>
      <c r="N1809" s="68"/>
      <c r="O1809" s="68"/>
      <c r="P1809" s="106"/>
    </row>
    <row r="1810" spans="2:16" x14ac:dyDescent="0.25">
      <c r="B1810" s="68"/>
      <c r="C1810" s="68"/>
      <c r="D1810" s="68"/>
      <c r="E1810" s="68"/>
      <c r="F1810" s="68"/>
      <c r="G1810" s="100"/>
      <c r="H1810" s="91"/>
      <c r="I1810" s="91"/>
      <c r="J1810" s="68"/>
      <c r="K1810" s="69"/>
      <c r="L1810" s="102"/>
      <c r="M1810" s="102"/>
      <c r="N1810" s="68"/>
      <c r="O1810" s="68"/>
      <c r="P1810" s="106"/>
    </row>
    <row r="1811" spans="2:16" x14ac:dyDescent="0.25">
      <c r="B1811" s="68"/>
      <c r="C1811" s="68"/>
      <c r="D1811" s="68"/>
      <c r="E1811" s="68"/>
      <c r="F1811" s="68"/>
      <c r="G1811" s="100"/>
      <c r="H1811" s="91"/>
      <c r="I1811" s="91"/>
      <c r="J1811" s="68"/>
      <c r="K1811" s="69"/>
      <c r="L1811" s="102"/>
      <c r="M1811" s="102"/>
      <c r="N1811" s="68"/>
      <c r="O1811" s="68"/>
      <c r="P1811" s="106"/>
    </row>
    <row r="1812" spans="2:16" x14ac:dyDescent="0.25">
      <c r="B1812" s="68"/>
      <c r="C1812" s="68"/>
      <c r="D1812" s="68"/>
      <c r="E1812" s="68"/>
      <c r="F1812" s="68"/>
      <c r="G1812" s="100"/>
      <c r="H1812" s="91"/>
      <c r="I1812" s="91"/>
      <c r="J1812" s="68"/>
      <c r="K1812" s="69"/>
      <c r="L1812" s="102"/>
      <c r="M1812" s="102"/>
      <c r="N1812" s="68"/>
      <c r="O1812" s="68"/>
      <c r="P1812" s="106"/>
    </row>
    <row r="1813" spans="2:16" x14ac:dyDescent="0.25">
      <c r="B1813" s="68"/>
      <c r="C1813" s="68"/>
      <c r="D1813" s="68"/>
      <c r="E1813" s="68"/>
      <c r="F1813" s="68"/>
      <c r="G1813" s="100"/>
      <c r="H1813" s="91"/>
      <c r="I1813" s="91"/>
      <c r="J1813" s="68"/>
      <c r="K1813" s="69"/>
      <c r="L1813" s="102"/>
      <c r="M1813" s="102"/>
      <c r="N1813" s="68"/>
      <c r="O1813" s="68"/>
      <c r="P1813" s="106"/>
    </row>
    <row r="1814" spans="2:16" x14ac:dyDescent="0.25">
      <c r="B1814" s="68"/>
      <c r="C1814" s="68"/>
      <c r="D1814" s="68"/>
      <c r="E1814" s="68"/>
      <c r="F1814" s="68"/>
      <c r="G1814" s="100"/>
      <c r="H1814" s="91"/>
      <c r="I1814" s="91"/>
      <c r="J1814" s="68"/>
      <c r="K1814" s="69"/>
      <c r="L1814" s="102"/>
      <c r="M1814" s="102"/>
      <c r="N1814" s="68"/>
      <c r="O1814" s="68"/>
      <c r="P1814" s="106"/>
    </row>
    <row r="1815" spans="2:16" x14ac:dyDescent="0.25">
      <c r="B1815" s="68"/>
      <c r="C1815" s="68"/>
      <c r="D1815" s="68"/>
      <c r="E1815" s="68"/>
      <c r="F1815" s="68"/>
      <c r="G1815" s="100"/>
      <c r="H1815" s="91"/>
      <c r="I1815" s="91"/>
      <c r="J1815" s="68"/>
      <c r="K1815" s="69"/>
      <c r="L1815" s="102"/>
      <c r="M1815" s="102"/>
      <c r="N1815" s="68"/>
      <c r="O1815" s="68"/>
      <c r="P1815" s="106"/>
    </row>
    <row r="1816" spans="2:16" x14ac:dyDescent="0.25">
      <c r="B1816" s="68"/>
      <c r="C1816" s="68"/>
      <c r="D1816" s="68"/>
      <c r="E1816" s="68"/>
      <c r="F1816" s="68"/>
      <c r="G1816" s="100"/>
      <c r="H1816" s="91"/>
      <c r="I1816" s="91"/>
      <c r="J1816" s="68"/>
      <c r="K1816" s="69"/>
      <c r="L1816" s="102"/>
      <c r="M1816" s="102"/>
      <c r="N1816" s="68"/>
      <c r="O1816" s="68"/>
      <c r="P1816" s="106"/>
    </row>
    <row r="1817" spans="2:16" x14ac:dyDescent="0.25">
      <c r="B1817" s="68"/>
      <c r="C1817" s="68"/>
      <c r="D1817" s="68"/>
      <c r="E1817" s="68"/>
      <c r="F1817" s="68"/>
      <c r="G1817" s="100"/>
      <c r="H1817" s="91"/>
      <c r="I1817" s="91"/>
      <c r="J1817" s="68"/>
      <c r="K1817" s="69"/>
      <c r="L1817" s="102"/>
      <c r="M1817" s="102"/>
      <c r="N1817" s="68"/>
      <c r="O1817" s="68"/>
      <c r="P1817" s="106"/>
    </row>
    <row r="1818" spans="2:16" x14ac:dyDescent="0.25">
      <c r="B1818" s="68"/>
      <c r="C1818" s="68"/>
      <c r="D1818" s="68"/>
      <c r="E1818" s="68"/>
      <c r="F1818" s="68"/>
      <c r="G1818" s="100"/>
      <c r="H1818" s="91"/>
      <c r="I1818" s="91"/>
      <c r="J1818" s="68"/>
      <c r="K1818" s="69"/>
      <c r="L1818" s="102"/>
      <c r="M1818" s="102"/>
      <c r="N1818" s="68"/>
      <c r="O1818" s="68"/>
      <c r="P1818" s="106"/>
    </row>
    <row r="1819" spans="2:16" x14ac:dyDescent="0.25">
      <c r="B1819" s="68"/>
      <c r="C1819" s="68"/>
      <c r="D1819" s="68"/>
      <c r="E1819" s="68"/>
      <c r="F1819" s="68"/>
      <c r="G1819" s="100"/>
      <c r="H1819" s="91"/>
      <c r="I1819" s="91"/>
      <c r="J1819" s="68"/>
      <c r="K1819" s="69"/>
      <c r="L1819" s="102"/>
      <c r="M1819" s="102"/>
      <c r="N1819" s="68"/>
      <c r="O1819" s="68"/>
      <c r="P1819" s="106"/>
    </row>
    <row r="1820" spans="2:16" x14ac:dyDescent="0.25">
      <c r="B1820" s="68"/>
      <c r="C1820" s="68"/>
      <c r="D1820" s="68"/>
      <c r="E1820" s="68"/>
      <c r="F1820" s="68"/>
      <c r="G1820" s="100"/>
      <c r="H1820" s="91"/>
      <c r="I1820" s="91"/>
      <c r="J1820" s="68"/>
      <c r="K1820" s="69"/>
      <c r="L1820" s="102"/>
      <c r="M1820" s="102"/>
      <c r="N1820" s="68"/>
      <c r="O1820" s="68"/>
      <c r="P1820" s="106"/>
    </row>
    <row r="1821" spans="2:16" x14ac:dyDescent="0.25">
      <c r="B1821" s="68"/>
      <c r="C1821" s="68"/>
      <c r="D1821" s="68"/>
      <c r="E1821" s="68"/>
      <c r="F1821" s="68"/>
      <c r="G1821" s="100"/>
      <c r="H1821" s="91"/>
      <c r="I1821" s="91"/>
      <c r="J1821" s="68"/>
      <c r="K1821" s="69"/>
      <c r="L1821" s="102"/>
      <c r="M1821" s="102"/>
      <c r="N1821" s="68"/>
      <c r="O1821" s="68"/>
      <c r="P1821" s="106"/>
    </row>
    <row r="1822" spans="2:16" x14ac:dyDescent="0.25">
      <c r="B1822" s="68"/>
      <c r="C1822" s="68"/>
      <c r="D1822" s="68"/>
      <c r="E1822" s="68"/>
      <c r="F1822" s="68"/>
      <c r="G1822" s="100"/>
      <c r="H1822" s="91"/>
      <c r="I1822" s="91"/>
      <c r="J1822" s="68"/>
      <c r="K1822" s="69"/>
      <c r="L1822" s="102"/>
      <c r="M1822" s="102"/>
      <c r="N1822" s="68"/>
      <c r="O1822" s="68"/>
      <c r="P1822" s="106"/>
    </row>
    <row r="1823" spans="2:16" x14ac:dyDescent="0.25">
      <c r="B1823" s="68"/>
      <c r="C1823" s="68"/>
      <c r="D1823" s="68"/>
      <c r="E1823" s="68"/>
      <c r="F1823" s="68"/>
      <c r="G1823" s="100"/>
      <c r="H1823" s="91"/>
      <c r="I1823" s="91"/>
      <c r="J1823" s="68"/>
      <c r="K1823" s="69"/>
      <c r="L1823" s="102"/>
      <c r="M1823" s="102"/>
      <c r="N1823" s="68"/>
      <c r="O1823" s="68"/>
      <c r="P1823" s="106"/>
    </row>
    <row r="1824" spans="2:16" x14ac:dyDescent="0.25">
      <c r="B1824" s="68"/>
      <c r="C1824" s="68"/>
      <c r="D1824" s="68"/>
      <c r="E1824" s="68"/>
      <c r="F1824" s="68"/>
      <c r="G1824" s="100"/>
      <c r="H1824" s="91"/>
      <c r="I1824" s="91"/>
      <c r="J1824" s="68"/>
      <c r="K1824" s="69"/>
      <c r="L1824" s="102"/>
      <c r="M1824" s="102"/>
      <c r="N1824" s="68"/>
      <c r="O1824" s="68"/>
      <c r="P1824" s="106"/>
    </row>
    <row r="1825" spans="2:16" x14ac:dyDescent="0.25">
      <c r="B1825" s="68"/>
      <c r="C1825" s="68"/>
      <c r="D1825" s="68"/>
      <c r="E1825" s="68"/>
      <c r="F1825" s="68"/>
      <c r="G1825" s="100"/>
      <c r="H1825" s="91"/>
      <c r="I1825" s="91"/>
      <c r="J1825" s="68"/>
      <c r="K1825" s="69"/>
      <c r="L1825" s="102"/>
      <c r="M1825" s="102"/>
      <c r="N1825" s="68"/>
      <c r="O1825" s="68"/>
      <c r="P1825" s="106"/>
    </row>
    <row r="1826" spans="2:16" x14ac:dyDescent="0.25">
      <c r="B1826" s="68"/>
      <c r="C1826" s="68"/>
      <c r="D1826" s="68"/>
      <c r="E1826" s="68"/>
      <c r="F1826" s="68"/>
      <c r="G1826" s="100"/>
      <c r="H1826" s="91"/>
      <c r="I1826" s="91"/>
      <c r="J1826" s="68"/>
      <c r="K1826" s="69"/>
      <c r="L1826" s="102"/>
      <c r="M1826" s="102"/>
      <c r="N1826" s="68"/>
      <c r="O1826" s="68"/>
      <c r="P1826" s="106"/>
    </row>
    <row r="1827" spans="2:16" x14ac:dyDescent="0.25">
      <c r="B1827" s="68"/>
      <c r="C1827" s="68"/>
      <c r="D1827" s="68"/>
      <c r="E1827" s="68"/>
      <c r="F1827" s="68"/>
      <c r="G1827" s="100"/>
      <c r="H1827" s="91"/>
      <c r="I1827" s="91"/>
      <c r="J1827" s="68"/>
      <c r="K1827" s="69"/>
      <c r="L1827" s="102"/>
      <c r="M1827" s="102"/>
      <c r="N1827" s="68"/>
      <c r="O1827" s="68"/>
      <c r="P1827" s="106"/>
    </row>
    <row r="1828" spans="2:16" x14ac:dyDescent="0.25">
      <c r="B1828" s="68"/>
      <c r="C1828" s="68"/>
      <c r="D1828" s="68"/>
      <c r="E1828" s="68"/>
      <c r="F1828" s="68"/>
      <c r="G1828" s="100"/>
      <c r="H1828" s="91"/>
      <c r="I1828" s="91"/>
      <c r="J1828" s="68"/>
      <c r="K1828" s="69"/>
      <c r="L1828" s="102"/>
      <c r="M1828" s="102"/>
      <c r="N1828" s="68"/>
      <c r="O1828" s="68"/>
      <c r="P1828" s="106"/>
    </row>
    <row r="1829" spans="2:16" x14ac:dyDescent="0.25">
      <c r="B1829" s="68"/>
      <c r="C1829" s="68"/>
      <c r="D1829" s="68"/>
      <c r="E1829" s="68"/>
      <c r="F1829" s="68"/>
      <c r="G1829" s="100"/>
      <c r="H1829" s="91"/>
      <c r="I1829" s="91"/>
      <c r="J1829" s="68"/>
      <c r="K1829" s="69"/>
      <c r="L1829" s="102"/>
      <c r="M1829" s="102"/>
      <c r="N1829" s="68"/>
      <c r="O1829" s="68"/>
      <c r="P1829" s="106"/>
    </row>
    <row r="1830" spans="2:16" x14ac:dyDescent="0.25">
      <c r="B1830" s="68"/>
      <c r="C1830" s="68"/>
      <c r="D1830" s="68"/>
      <c r="E1830" s="68"/>
      <c r="F1830" s="68"/>
      <c r="G1830" s="100"/>
      <c r="H1830" s="91"/>
      <c r="I1830" s="91"/>
      <c r="J1830" s="68"/>
      <c r="K1830" s="69"/>
      <c r="L1830" s="102"/>
      <c r="M1830" s="102"/>
      <c r="N1830" s="68"/>
      <c r="O1830" s="68"/>
      <c r="P1830" s="106"/>
    </row>
    <row r="1831" spans="2:16" x14ac:dyDescent="0.25">
      <c r="B1831" s="68"/>
      <c r="C1831" s="68"/>
      <c r="D1831" s="68"/>
      <c r="E1831" s="68"/>
      <c r="F1831" s="68"/>
      <c r="G1831" s="100"/>
      <c r="H1831" s="91"/>
      <c r="I1831" s="91"/>
      <c r="J1831" s="68"/>
      <c r="K1831" s="69"/>
      <c r="L1831" s="102"/>
      <c r="M1831" s="102"/>
      <c r="N1831" s="68"/>
      <c r="O1831" s="68"/>
      <c r="P1831" s="106"/>
    </row>
    <row r="1832" spans="2:16" x14ac:dyDescent="0.25">
      <c r="B1832" s="68"/>
      <c r="C1832" s="68"/>
      <c r="D1832" s="68"/>
      <c r="E1832" s="68"/>
      <c r="F1832" s="68"/>
      <c r="G1832" s="100"/>
      <c r="H1832" s="91"/>
      <c r="I1832" s="91"/>
      <c r="J1832" s="68"/>
      <c r="K1832" s="69"/>
      <c r="L1832" s="102"/>
      <c r="M1832" s="102"/>
      <c r="N1832" s="68"/>
      <c r="O1832" s="68"/>
      <c r="P1832" s="106"/>
    </row>
    <row r="1833" spans="2:16" x14ac:dyDescent="0.25">
      <c r="B1833" s="68"/>
      <c r="C1833" s="68"/>
      <c r="D1833" s="68"/>
      <c r="E1833" s="68"/>
      <c r="F1833" s="68"/>
      <c r="G1833" s="100"/>
      <c r="H1833" s="91"/>
      <c r="I1833" s="91"/>
      <c r="J1833" s="68"/>
      <c r="K1833" s="69"/>
      <c r="L1833" s="102"/>
      <c r="M1833" s="102"/>
      <c r="N1833" s="68"/>
      <c r="O1833" s="68"/>
      <c r="P1833" s="106"/>
    </row>
    <row r="1834" spans="2:16" x14ac:dyDescent="0.25">
      <c r="B1834" s="68"/>
      <c r="C1834" s="68"/>
      <c r="D1834" s="68"/>
      <c r="E1834" s="68"/>
      <c r="F1834" s="68"/>
      <c r="G1834" s="100"/>
      <c r="H1834" s="91"/>
      <c r="I1834" s="91"/>
      <c r="J1834" s="68"/>
      <c r="K1834" s="69"/>
      <c r="L1834" s="102"/>
      <c r="M1834" s="102"/>
      <c r="N1834" s="68"/>
      <c r="O1834" s="68"/>
      <c r="P1834" s="106"/>
    </row>
    <row r="1835" spans="2:16" x14ac:dyDescent="0.25">
      <c r="B1835" s="68"/>
      <c r="C1835" s="68"/>
      <c r="D1835" s="68"/>
      <c r="E1835" s="68"/>
      <c r="F1835" s="68"/>
      <c r="G1835" s="100"/>
      <c r="H1835" s="91"/>
      <c r="I1835" s="91"/>
      <c r="J1835" s="68"/>
      <c r="K1835" s="69"/>
      <c r="L1835" s="102"/>
      <c r="M1835" s="102"/>
      <c r="N1835" s="68"/>
      <c r="O1835" s="68"/>
      <c r="P1835" s="106"/>
    </row>
    <row r="1836" spans="2:16" x14ac:dyDescent="0.25">
      <c r="B1836" s="68"/>
      <c r="C1836" s="68"/>
      <c r="D1836" s="68"/>
      <c r="E1836" s="68"/>
      <c r="F1836" s="68"/>
      <c r="G1836" s="100"/>
      <c r="H1836" s="91"/>
      <c r="I1836" s="91"/>
      <c r="J1836" s="68"/>
      <c r="K1836" s="69"/>
      <c r="L1836" s="102"/>
      <c r="M1836" s="102"/>
      <c r="N1836" s="68"/>
      <c r="O1836" s="68"/>
      <c r="P1836" s="106"/>
    </row>
    <row r="1837" spans="2:16" x14ac:dyDescent="0.25">
      <c r="B1837" s="68"/>
      <c r="C1837" s="68"/>
      <c r="D1837" s="68"/>
      <c r="E1837" s="68"/>
      <c r="F1837" s="68"/>
      <c r="G1837" s="100"/>
      <c r="H1837" s="91"/>
      <c r="I1837" s="91"/>
      <c r="J1837" s="68"/>
      <c r="K1837" s="69"/>
      <c r="L1837" s="102"/>
      <c r="M1837" s="102"/>
      <c r="N1837" s="68"/>
      <c r="O1837" s="68"/>
      <c r="P1837" s="106"/>
    </row>
    <row r="1838" spans="2:16" x14ac:dyDescent="0.25">
      <c r="B1838" s="68"/>
      <c r="C1838" s="68"/>
      <c r="D1838" s="68"/>
      <c r="E1838" s="68"/>
      <c r="F1838" s="68"/>
      <c r="G1838" s="100"/>
      <c r="H1838" s="91"/>
      <c r="I1838" s="91"/>
      <c r="J1838" s="68"/>
      <c r="K1838" s="69"/>
      <c r="L1838" s="102"/>
      <c r="M1838" s="102"/>
      <c r="N1838" s="68"/>
      <c r="O1838" s="68"/>
      <c r="P1838" s="106"/>
    </row>
    <row r="1839" spans="2:16" x14ac:dyDescent="0.25">
      <c r="B1839" s="68"/>
      <c r="C1839" s="68"/>
      <c r="D1839" s="68"/>
      <c r="E1839" s="68"/>
      <c r="F1839" s="68"/>
      <c r="G1839" s="100"/>
      <c r="H1839" s="91"/>
      <c r="I1839" s="91"/>
      <c r="J1839" s="68"/>
      <c r="K1839" s="69"/>
      <c r="L1839" s="102"/>
      <c r="M1839" s="102"/>
      <c r="N1839" s="68"/>
      <c r="O1839" s="68"/>
      <c r="P1839" s="106"/>
    </row>
    <row r="1840" spans="2:16" x14ac:dyDescent="0.25">
      <c r="B1840" s="68"/>
      <c r="C1840" s="68"/>
      <c r="D1840" s="68"/>
      <c r="E1840" s="68"/>
      <c r="F1840" s="68"/>
      <c r="G1840" s="100"/>
      <c r="H1840" s="91"/>
      <c r="I1840" s="91"/>
      <c r="J1840" s="68"/>
      <c r="K1840" s="69"/>
      <c r="L1840" s="102"/>
      <c r="M1840" s="102"/>
      <c r="N1840" s="68"/>
      <c r="O1840" s="68"/>
      <c r="P1840" s="106"/>
    </row>
    <row r="1841" spans="2:16" x14ac:dyDescent="0.25">
      <c r="B1841" s="68"/>
      <c r="C1841" s="68"/>
      <c r="D1841" s="68"/>
      <c r="E1841" s="68"/>
      <c r="F1841" s="68"/>
      <c r="G1841" s="100"/>
      <c r="H1841" s="91"/>
      <c r="I1841" s="91"/>
      <c r="J1841" s="68"/>
      <c r="K1841" s="69"/>
      <c r="L1841" s="102"/>
      <c r="M1841" s="102"/>
      <c r="N1841" s="68"/>
      <c r="O1841" s="68"/>
      <c r="P1841" s="106"/>
    </row>
    <row r="1842" spans="2:16" x14ac:dyDescent="0.25">
      <c r="B1842" s="68"/>
      <c r="C1842" s="68"/>
      <c r="D1842" s="68"/>
      <c r="E1842" s="68"/>
      <c r="F1842" s="68"/>
      <c r="G1842" s="100"/>
      <c r="H1842" s="91"/>
      <c r="I1842" s="91"/>
      <c r="J1842" s="68"/>
      <c r="K1842" s="69"/>
      <c r="L1842" s="102"/>
      <c r="M1842" s="102"/>
      <c r="N1842" s="68"/>
      <c r="O1842" s="68"/>
      <c r="P1842" s="106"/>
    </row>
    <row r="1843" spans="2:16" x14ac:dyDescent="0.25">
      <c r="B1843" s="68"/>
      <c r="C1843" s="68"/>
      <c r="D1843" s="68"/>
      <c r="E1843" s="68"/>
      <c r="F1843" s="68"/>
      <c r="G1843" s="100"/>
      <c r="H1843" s="91"/>
      <c r="I1843" s="91"/>
      <c r="J1843" s="68"/>
      <c r="K1843" s="69"/>
      <c r="L1843" s="102"/>
      <c r="M1843" s="102"/>
      <c r="N1843" s="68"/>
      <c r="O1843" s="68"/>
      <c r="P1843" s="106"/>
    </row>
    <row r="1844" spans="2:16" x14ac:dyDescent="0.25">
      <c r="B1844" s="68"/>
      <c r="C1844" s="68"/>
      <c r="D1844" s="68"/>
      <c r="E1844" s="68"/>
      <c r="F1844" s="68"/>
      <c r="G1844" s="100"/>
      <c r="H1844" s="91"/>
      <c r="I1844" s="91"/>
      <c r="J1844" s="68"/>
      <c r="K1844" s="69"/>
      <c r="L1844" s="102"/>
      <c r="M1844" s="102"/>
      <c r="N1844" s="68"/>
      <c r="O1844" s="68"/>
      <c r="P1844" s="106"/>
    </row>
    <row r="1845" spans="2:16" x14ac:dyDescent="0.25">
      <c r="B1845" s="68"/>
      <c r="C1845" s="68"/>
      <c r="D1845" s="68"/>
      <c r="E1845" s="68"/>
      <c r="F1845" s="68"/>
      <c r="G1845" s="100"/>
      <c r="H1845" s="91"/>
      <c r="I1845" s="91"/>
      <c r="J1845" s="68"/>
      <c r="K1845" s="69"/>
      <c r="L1845" s="102"/>
      <c r="M1845" s="102"/>
      <c r="N1845" s="68"/>
      <c r="O1845" s="68"/>
      <c r="P1845" s="106"/>
    </row>
    <row r="1846" spans="2:16" x14ac:dyDescent="0.25">
      <c r="B1846" s="68"/>
      <c r="C1846" s="68"/>
      <c r="D1846" s="68"/>
      <c r="E1846" s="68"/>
      <c r="F1846" s="68"/>
      <c r="G1846" s="100"/>
      <c r="H1846" s="91"/>
      <c r="I1846" s="91"/>
      <c r="J1846" s="68"/>
      <c r="K1846" s="69"/>
      <c r="L1846" s="102"/>
      <c r="M1846" s="102"/>
      <c r="N1846" s="68"/>
      <c r="O1846" s="68"/>
      <c r="P1846" s="106"/>
    </row>
    <row r="1847" spans="2:16" x14ac:dyDescent="0.25">
      <c r="B1847" s="68"/>
      <c r="C1847" s="68"/>
      <c r="D1847" s="68"/>
      <c r="E1847" s="68"/>
      <c r="F1847" s="68"/>
      <c r="G1847" s="100"/>
      <c r="H1847" s="91"/>
      <c r="I1847" s="91"/>
      <c r="J1847" s="68"/>
      <c r="K1847" s="69"/>
      <c r="L1847" s="102"/>
      <c r="M1847" s="102"/>
      <c r="N1847" s="68"/>
      <c r="O1847" s="68"/>
      <c r="P1847" s="106"/>
    </row>
    <row r="1848" spans="2:16" x14ac:dyDescent="0.25">
      <c r="B1848" s="68"/>
      <c r="C1848" s="68"/>
      <c r="D1848" s="68"/>
      <c r="E1848" s="68"/>
      <c r="F1848" s="68"/>
      <c r="G1848" s="100"/>
      <c r="H1848" s="91"/>
      <c r="I1848" s="91"/>
      <c r="J1848" s="68"/>
      <c r="K1848" s="69"/>
      <c r="L1848" s="102"/>
      <c r="M1848" s="102"/>
      <c r="N1848" s="68"/>
      <c r="O1848" s="68"/>
      <c r="P1848" s="106"/>
    </row>
    <row r="1849" spans="2:16" x14ac:dyDescent="0.25">
      <c r="B1849" s="68"/>
      <c r="C1849" s="68"/>
      <c r="D1849" s="68"/>
      <c r="E1849" s="68"/>
      <c r="F1849" s="68"/>
      <c r="G1849" s="100"/>
      <c r="H1849" s="91"/>
      <c r="I1849" s="91"/>
      <c r="J1849" s="68"/>
      <c r="K1849" s="69"/>
      <c r="L1849" s="102"/>
      <c r="M1849" s="102"/>
      <c r="N1849" s="68"/>
      <c r="O1849" s="68"/>
      <c r="P1849" s="106"/>
    </row>
    <row r="1850" spans="2:16" x14ac:dyDescent="0.25">
      <c r="B1850" s="68"/>
      <c r="C1850" s="68"/>
      <c r="D1850" s="68"/>
      <c r="E1850" s="68"/>
      <c r="F1850" s="68"/>
      <c r="G1850" s="100"/>
      <c r="H1850" s="91"/>
      <c r="I1850" s="91"/>
      <c r="J1850" s="68"/>
      <c r="K1850" s="69"/>
      <c r="L1850" s="102"/>
      <c r="M1850" s="102"/>
      <c r="N1850" s="68"/>
      <c r="O1850" s="68"/>
      <c r="P1850" s="106"/>
    </row>
    <row r="1851" spans="2:16" x14ac:dyDescent="0.25">
      <c r="B1851" s="68"/>
      <c r="C1851" s="68"/>
      <c r="D1851" s="68"/>
      <c r="E1851" s="68"/>
      <c r="F1851" s="68"/>
      <c r="G1851" s="100"/>
      <c r="H1851" s="91"/>
      <c r="I1851" s="91"/>
      <c r="J1851" s="68"/>
      <c r="K1851" s="69"/>
      <c r="L1851" s="102"/>
      <c r="M1851" s="102"/>
      <c r="N1851" s="68"/>
      <c r="O1851" s="68"/>
      <c r="P1851" s="106"/>
    </row>
    <row r="1852" spans="2:16" x14ac:dyDescent="0.25">
      <c r="B1852" s="68"/>
      <c r="C1852" s="68"/>
      <c r="D1852" s="68"/>
      <c r="E1852" s="68"/>
      <c r="F1852" s="68"/>
      <c r="G1852" s="100"/>
      <c r="H1852" s="91"/>
      <c r="I1852" s="91"/>
      <c r="J1852" s="68"/>
      <c r="K1852" s="69"/>
      <c r="L1852" s="102"/>
      <c r="M1852" s="102"/>
      <c r="N1852" s="68"/>
      <c r="O1852" s="68"/>
      <c r="P1852" s="106"/>
    </row>
    <row r="1853" spans="2:16" x14ac:dyDescent="0.25">
      <c r="B1853" s="68"/>
      <c r="C1853" s="68"/>
      <c r="D1853" s="68"/>
      <c r="E1853" s="68"/>
      <c r="F1853" s="68"/>
      <c r="G1853" s="100"/>
      <c r="H1853" s="91"/>
      <c r="I1853" s="91"/>
      <c r="J1853" s="68"/>
      <c r="K1853" s="69"/>
      <c r="L1853" s="102"/>
      <c r="M1853" s="102"/>
      <c r="N1853" s="68"/>
      <c r="O1853" s="68"/>
      <c r="P1853" s="106"/>
    </row>
    <row r="1854" spans="2:16" x14ac:dyDescent="0.25">
      <c r="B1854" s="68"/>
      <c r="C1854" s="68"/>
      <c r="D1854" s="68"/>
      <c r="E1854" s="68"/>
      <c r="F1854" s="68"/>
      <c r="G1854" s="100"/>
      <c r="H1854" s="91"/>
      <c r="I1854" s="91"/>
      <c r="J1854" s="68"/>
      <c r="K1854" s="69"/>
      <c r="L1854" s="102"/>
      <c r="M1854" s="102"/>
      <c r="N1854" s="68"/>
      <c r="O1854" s="68"/>
      <c r="P1854" s="106"/>
    </row>
    <row r="1855" spans="2:16" x14ac:dyDescent="0.25">
      <c r="B1855" s="68"/>
      <c r="C1855" s="68"/>
      <c r="D1855" s="68"/>
      <c r="E1855" s="68"/>
      <c r="F1855" s="68"/>
      <c r="G1855" s="100"/>
      <c r="H1855" s="91"/>
      <c r="I1855" s="91"/>
      <c r="J1855" s="68"/>
      <c r="K1855" s="69"/>
      <c r="L1855" s="102"/>
      <c r="M1855" s="102"/>
      <c r="N1855" s="68"/>
      <c r="O1855" s="68"/>
      <c r="P1855" s="106"/>
    </row>
    <row r="1856" spans="2:16" x14ac:dyDescent="0.25">
      <c r="B1856" s="68"/>
      <c r="C1856" s="68"/>
      <c r="D1856" s="68"/>
      <c r="E1856" s="68"/>
      <c r="F1856" s="68"/>
      <c r="G1856" s="100"/>
      <c r="H1856" s="91"/>
      <c r="I1856" s="91"/>
      <c r="J1856" s="68"/>
      <c r="K1856" s="69"/>
      <c r="L1856" s="102"/>
      <c r="M1856" s="102"/>
      <c r="N1856" s="68"/>
      <c r="O1856" s="68"/>
      <c r="P1856" s="106"/>
    </row>
    <row r="1857" spans="2:16" x14ac:dyDescent="0.25">
      <c r="B1857" s="68"/>
      <c r="C1857" s="68"/>
      <c r="D1857" s="68"/>
      <c r="E1857" s="68"/>
      <c r="F1857" s="68"/>
      <c r="G1857" s="100"/>
      <c r="H1857" s="91"/>
      <c r="I1857" s="91"/>
      <c r="J1857" s="68"/>
      <c r="K1857" s="69"/>
      <c r="L1857" s="102"/>
      <c r="M1857" s="102"/>
      <c r="N1857" s="68"/>
      <c r="O1857" s="68"/>
      <c r="P1857" s="106"/>
    </row>
    <row r="1858" spans="2:16" x14ac:dyDescent="0.25">
      <c r="B1858" s="68"/>
      <c r="C1858" s="68"/>
      <c r="D1858" s="68"/>
      <c r="E1858" s="68"/>
      <c r="F1858" s="68"/>
      <c r="G1858" s="100"/>
      <c r="H1858" s="91"/>
      <c r="I1858" s="91"/>
      <c r="J1858" s="68"/>
      <c r="K1858" s="69"/>
      <c r="L1858" s="102"/>
      <c r="M1858" s="102"/>
      <c r="N1858" s="68"/>
      <c r="O1858" s="68"/>
      <c r="P1858" s="106"/>
    </row>
    <row r="1859" spans="2:16" x14ac:dyDescent="0.25">
      <c r="B1859" s="68"/>
      <c r="C1859" s="68"/>
      <c r="D1859" s="68"/>
      <c r="E1859" s="68"/>
      <c r="F1859" s="68"/>
      <c r="G1859" s="100"/>
      <c r="H1859" s="91"/>
      <c r="I1859" s="91"/>
      <c r="J1859" s="68"/>
      <c r="K1859" s="69"/>
      <c r="L1859" s="102"/>
      <c r="M1859" s="102"/>
      <c r="N1859" s="68"/>
      <c r="O1859" s="68"/>
      <c r="P1859" s="106"/>
    </row>
    <row r="1860" spans="2:16" x14ac:dyDescent="0.25">
      <c r="B1860" s="68"/>
      <c r="C1860" s="68"/>
      <c r="D1860" s="68"/>
      <c r="E1860" s="68"/>
      <c r="F1860" s="68"/>
      <c r="G1860" s="100"/>
      <c r="H1860" s="91"/>
      <c r="I1860" s="91"/>
      <c r="J1860" s="68"/>
      <c r="K1860" s="69"/>
      <c r="L1860" s="102"/>
      <c r="M1860" s="102"/>
      <c r="N1860" s="68"/>
      <c r="O1860" s="68"/>
      <c r="P1860" s="106"/>
    </row>
    <row r="1861" spans="2:16" x14ac:dyDescent="0.25">
      <c r="B1861" s="68"/>
      <c r="C1861" s="68"/>
      <c r="D1861" s="68"/>
      <c r="E1861" s="68"/>
      <c r="F1861" s="68"/>
      <c r="G1861" s="100"/>
      <c r="H1861" s="91"/>
      <c r="I1861" s="91"/>
      <c r="J1861" s="68"/>
      <c r="K1861" s="69"/>
      <c r="L1861" s="102"/>
      <c r="M1861" s="102"/>
      <c r="N1861" s="68"/>
      <c r="O1861" s="68"/>
      <c r="P1861" s="106"/>
    </row>
    <row r="1862" spans="2:16" x14ac:dyDescent="0.25">
      <c r="B1862" s="68"/>
      <c r="C1862" s="68"/>
      <c r="D1862" s="68"/>
      <c r="E1862" s="68"/>
      <c r="F1862" s="68"/>
      <c r="G1862" s="100"/>
      <c r="H1862" s="91"/>
      <c r="I1862" s="91"/>
      <c r="J1862" s="68"/>
      <c r="K1862" s="69"/>
      <c r="L1862" s="102"/>
      <c r="M1862" s="102"/>
      <c r="N1862" s="68"/>
      <c r="O1862" s="68"/>
      <c r="P1862" s="106"/>
    </row>
    <row r="1863" spans="2:16" x14ac:dyDescent="0.25">
      <c r="B1863" s="68"/>
      <c r="C1863" s="68"/>
      <c r="D1863" s="68"/>
      <c r="E1863" s="68"/>
      <c r="F1863" s="68"/>
      <c r="G1863" s="100"/>
      <c r="H1863" s="91"/>
      <c r="I1863" s="91"/>
      <c r="J1863" s="68"/>
      <c r="K1863" s="69"/>
      <c r="L1863" s="102"/>
      <c r="M1863" s="102"/>
      <c r="N1863" s="68"/>
      <c r="O1863" s="68"/>
      <c r="P1863" s="106"/>
    </row>
    <row r="1864" spans="2:16" x14ac:dyDescent="0.25">
      <c r="B1864" s="68"/>
      <c r="C1864" s="68"/>
      <c r="D1864" s="68"/>
      <c r="E1864" s="68"/>
      <c r="F1864" s="68"/>
      <c r="G1864" s="100"/>
      <c r="H1864" s="91"/>
      <c r="I1864" s="91"/>
      <c r="J1864" s="68"/>
      <c r="K1864" s="69"/>
      <c r="L1864" s="102"/>
      <c r="M1864" s="102"/>
      <c r="N1864" s="68"/>
      <c r="O1864" s="68"/>
      <c r="P1864" s="106"/>
    </row>
    <row r="1865" spans="2:16" x14ac:dyDescent="0.25">
      <c r="B1865" s="68"/>
      <c r="C1865" s="68"/>
      <c r="D1865" s="68"/>
      <c r="E1865" s="68"/>
      <c r="F1865" s="68"/>
      <c r="G1865" s="100"/>
      <c r="H1865" s="91"/>
      <c r="I1865" s="91"/>
      <c r="J1865" s="68"/>
      <c r="K1865" s="69"/>
      <c r="L1865" s="102"/>
      <c r="M1865" s="102"/>
      <c r="N1865" s="68"/>
      <c r="O1865" s="68"/>
      <c r="P1865" s="106"/>
    </row>
    <row r="1866" spans="2:16" x14ac:dyDescent="0.25">
      <c r="B1866" s="68"/>
      <c r="C1866" s="68"/>
      <c r="D1866" s="68"/>
      <c r="E1866" s="68"/>
      <c r="F1866" s="68"/>
      <c r="G1866" s="100"/>
      <c r="H1866" s="91"/>
      <c r="I1866" s="91"/>
      <c r="J1866" s="68"/>
      <c r="K1866" s="69"/>
      <c r="L1866" s="102"/>
      <c r="M1866" s="102"/>
      <c r="N1866" s="68"/>
      <c r="O1866" s="68"/>
      <c r="P1866" s="106"/>
    </row>
    <row r="1867" spans="2:16" x14ac:dyDescent="0.25">
      <c r="B1867" s="68"/>
      <c r="C1867" s="68"/>
      <c r="D1867" s="68"/>
      <c r="E1867" s="68"/>
      <c r="F1867" s="68"/>
      <c r="G1867" s="100"/>
      <c r="H1867" s="91"/>
      <c r="I1867" s="91"/>
      <c r="J1867" s="68"/>
      <c r="K1867" s="69"/>
      <c r="L1867" s="102"/>
      <c r="M1867" s="102"/>
      <c r="N1867" s="68"/>
      <c r="O1867" s="68"/>
      <c r="P1867" s="106"/>
    </row>
    <row r="1868" spans="2:16" x14ac:dyDescent="0.25">
      <c r="B1868" s="68"/>
      <c r="C1868" s="68"/>
      <c r="D1868" s="68"/>
      <c r="E1868" s="68"/>
      <c r="F1868" s="68"/>
      <c r="G1868" s="100"/>
      <c r="H1868" s="91"/>
      <c r="I1868" s="91"/>
      <c r="J1868" s="68"/>
      <c r="K1868" s="69"/>
      <c r="L1868" s="102"/>
      <c r="M1868" s="102"/>
      <c r="N1868" s="68"/>
      <c r="O1868" s="68"/>
      <c r="P1868" s="106"/>
    </row>
    <row r="1869" spans="2:16" x14ac:dyDescent="0.25">
      <c r="B1869" s="68"/>
      <c r="C1869" s="68"/>
      <c r="D1869" s="68"/>
      <c r="E1869" s="68"/>
      <c r="F1869" s="68"/>
      <c r="G1869" s="100"/>
      <c r="H1869" s="91"/>
      <c r="I1869" s="91"/>
      <c r="J1869" s="68"/>
      <c r="K1869" s="69"/>
      <c r="L1869" s="102"/>
      <c r="M1869" s="102"/>
      <c r="N1869" s="68"/>
      <c r="O1869" s="68"/>
      <c r="P1869" s="106"/>
    </row>
    <row r="1870" spans="2:16" x14ac:dyDescent="0.25">
      <c r="B1870" s="68"/>
      <c r="C1870" s="68"/>
      <c r="D1870" s="68"/>
      <c r="E1870" s="68"/>
      <c r="F1870" s="68"/>
      <c r="G1870" s="100"/>
      <c r="H1870" s="91"/>
      <c r="I1870" s="91"/>
      <c r="J1870" s="68"/>
      <c r="K1870" s="69"/>
      <c r="L1870" s="102"/>
      <c r="M1870" s="102"/>
      <c r="N1870" s="68"/>
      <c r="O1870" s="68"/>
      <c r="P1870" s="106"/>
    </row>
    <row r="1871" spans="2:16" x14ac:dyDescent="0.25">
      <c r="B1871" s="68"/>
      <c r="C1871" s="68"/>
      <c r="D1871" s="68"/>
      <c r="E1871" s="68"/>
      <c r="F1871" s="68"/>
      <c r="G1871" s="100"/>
      <c r="H1871" s="91"/>
      <c r="I1871" s="91"/>
      <c r="J1871" s="68"/>
      <c r="K1871" s="69"/>
      <c r="L1871" s="102"/>
      <c r="M1871" s="102"/>
      <c r="N1871" s="68"/>
      <c r="O1871" s="68"/>
      <c r="P1871" s="106"/>
    </row>
    <row r="1872" spans="2:16" x14ac:dyDescent="0.25">
      <c r="B1872" s="68"/>
      <c r="C1872" s="68"/>
      <c r="D1872" s="68"/>
      <c r="E1872" s="68"/>
      <c r="F1872" s="68"/>
      <c r="G1872" s="100"/>
      <c r="H1872" s="91"/>
      <c r="I1872" s="91"/>
      <c r="J1872" s="68"/>
      <c r="K1872" s="69"/>
      <c r="L1872" s="102"/>
      <c r="M1872" s="102"/>
      <c r="N1872" s="68"/>
      <c r="O1872" s="68"/>
      <c r="P1872" s="106"/>
    </row>
    <row r="1873" spans="2:16" x14ac:dyDescent="0.25">
      <c r="B1873" s="68"/>
      <c r="C1873" s="68"/>
      <c r="D1873" s="68"/>
      <c r="E1873" s="68"/>
      <c r="F1873" s="68"/>
      <c r="G1873" s="100"/>
      <c r="H1873" s="91"/>
      <c r="I1873" s="91"/>
      <c r="J1873" s="68"/>
      <c r="K1873" s="69"/>
      <c r="L1873" s="102"/>
      <c r="M1873" s="102"/>
      <c r="N1873" s="68"/>
      <c r="O1873" s="68"/>
      <c r="P1873" s="106"/>
    </row>
    <row r="1874" spans="2:16" x14ac:dyDescent="0.25">
      <c r="B1874" s="68"/>
      <c r="C1874" s="68"/>
      <c r="D1874" s="68"/>
      <c r="E1874" s="68"/>
      <c r="F1874" s="68"/>
      <c r="G1874" s="100"/>
      <c r="H1874" s="91"/>
      <c r="I1874" s="91"/>
      <c r="J1874" s="68"/>
      <c r="K1874" s="69"/>
      <c r="L1874" s="102"/>
      <c r="M1874" s="102"/>
      <c r="N1874" s="68"/>
      <c r="O1874" s="68"/>
      <c r="P1874" s="106"/>
    </row>
    <row r="1875" spans="2:16" x14ac:dyDescent="0.25">
      <c r="B1875" s="68"/>
      <c r="C1875" s="68"/>
      <c r="D1875" s="68"/>
      <c r="E1875" s="68"/>
      <c r="F1875" s="68"/>
      <c r="G1875" s="100"/>
      <c r="H1875" s="91"/>
      <c r="I1875" s="91"/>
      <c r="J1875" s="68"/>
      <c r="K1875" s="69"/>
      <c r="L1875" s="102"/>
      <c r="M1875" s="102"/>
      <c r="N1875" s="68"/>
      <c r="O1875" s="68"/>
      <c r="P1875" s="106"/>
    </row>
    <row r="1876" spans="2:16" x14ac:dyDescent="0.25">
      <c r="B1876" s="68"/>
      <c r="C1876" s="68"/>
      <c r="D1876" s="68"/>
      <c r="E1876" s="68"/>
      <c r="F1876" s="68"/>
      <c r="G1876" s="100"/>
      <c r="H1876" s="91"/>
      <c r="I1876" s="91"/>
      <c r="J1876" s="68"/>
      <c r="K1876" s="69"/>
      <c r="L1876" s="102"/>
      <c r="M1876" s="102"/>
      <c r="N1876" s="68"/>
      <c r="O1876" s="68"/>
      <c r="P1876" s="106"/>
    </row>
    <row r="1877" spans="2:16" x14ac:dyDescent="0.25">
      <c r="B1877" s="68"/>
      <c r="C1877" s="68"/>
      <c r="D1877" s="68"/>
      <c r="E1877" s="68"/>
      <c r="F1877" s="68"/>
      <c r="G1877" s="100"/>
      <c r="H1877" s="91"/>
      <c r="I1877" s="91"/>
      <c r="J1877" s="68"/>
      <c r="K1877" s="69"/>
      <c r="L1877" s="102"/>
      <c r="M1877" s="102"/>
      <c r="N1877" s="68"/>
      <c r="O1877" s="68"/>
      <c r="P1877" s="106"/>
    </row>
    <row r="1878" spans="2:16" x14ac:dyDescent="0.25">
      <c r="B1878" s="68"/>
      <c r="C1878" s="68"/>
      <c r="D1878" s="68"/>
      <c r="E1878" s="68"/>
      <c r="F1878" s="68"/>
      <c r="G1878" s="100"/>
      <c r="H1878" s="91"/>
      <c r="I1878" s="91"/>
      <c r="J1878" s="68"/>
      <c r="K1878" s="69"/>
      <c r="L1878" s="102"/>
      <c r="M1878" s="102"/>
      <c r="N1878" s="68"/>
      <c r="O1878" s="68"/>
      <c r="P1878" s="106"/>
    </row>
    <row r="1879" spans="2:16" x14ac:dyDescent="0.25">
      <c r="B1879" s="68"/>
      <c r="C1879" s="68"/>
      <c r="D1879" s="68"/>
      <c r="E1879" s="68"/>
      <c r="F1879" s="68"/>
      <c r="G1879" s="100"/>
      <c r="H1879" s="91"/>
      <c r="I1879" s="91"/>
      <c r="J1879" s="68"/>
      <c r="K1879" s="69"/>
      <c r="L1879" s="102"/>
      <c r="M1879" s="102"/>
      <c r="N1879" s="68"/>
      <c r="O1879" s="68"/>
      <c r="P1879" s="106"/>
    </row>
    <row r="1880" spans="2:16" x14ac:dyDescent="0.25">
      <c r="B1880" s="68"/>
      <c r="C1880" s="68"/>
      <c r="D1880" s="68"/>
      <c r="E1880" s="68"/>
      <c r="F1880" s="68"/>
      <c r="G1880" s="100"/>
      <c r="H1880" s="91"/>
      <c r="I1880" s="91"/>
      <c r="J1880" s="68"/>
      <c r="K1880" s="69"/>
      <c r="L1880" s="102"/>
      <c r="M1880" s="102"/>
      <c r="N1880" s="68"/>
      <c r="O1880" s="68"/>
      <c r="P1880" s="106"/>
    </row>
    <row r="1881" spans="2:16" x14ac:dyDescent="0.25">
      <c r="B1881" s="68"/>
      <c r="C1881" s="68"/>
      <c r="D1881" s="68"/>
      <c r="E1881" s="68"/>
      <c r="F1881" s="68"/>
      <c r="G1881" s="100"/>
      <c r="H1881" s="91"/>
      <c r="I1881" s="91"/>
      <c r="J1881" s="68"/>
      <c r="K1881" s="69"/>
      <c r="L1881" s="102"/>
      <c r="M1881" s="102"/>
      <c r="N1881" s="68"/>
      <c r="O1881" s="68"/>
      <c r="P1881" s="106"/>
    </row>
    <row r="1882" spans="2:16" x14ac:dyDescent="0.25">
      <c r="B1882" s="68"/>
      <c r="C1882" s="68"/>
      <c r="D1882" s="68"/>
      <c r="E1882" s="68"/>
      <c r="F1882" s="68"/>
      <c r="G1882" s="100"/>
      <c r="H1882" s="91"/>
      <c r="I1882" s="91"/>
      <c r="J1882" s="68"/>
      <c r="K1882" s="69"/>
      <c r="L1882" s="102"/>
      <c r="M1882" s="102"/>
      <c r="N1882" s="68"/>
      <c r="O1882" s="68"/>
      <c r="P1882" s="106"/>
    </row>
    <row r="1883" spans="2:16" x14ac:dyDescent="0.25">
      <c r="B1883" s="68"/>
      <c r="C1883" s="68"/>
      <c r="D1883" s="68"/>
      <c r="E1883" s="68"/>
      <c r="F1883" s="68"/>
      <c r="G1883" s="100"/>
      <c r="H1883" s="91"/>
      <c r="I1883" s="91"/>
      <c r="J1883" s="68"/>
      <c r="K1883" s="69"/>
      <c r="L1883" s="102"/>
      <c r="M1883" s="102"/>
      <c r="N1883" s="68"/>
      <c r="O1883" s="68"/>
      <c r="P1883" s="106"/>
    </row>
    <row r="1884" spans="2:16" x14ac:dyDescent="0.25">
      <c r="B1884" s="68"/>
      <c r="C1884" s="68"/>
      <c r="D1884" s="68"/>
      <c r="E1884" s="68"/>
      <c r="F1884" s="68"/>
      <c r="G1884" s="100"/>
      <c r="H1884" s="91"/>
      <c r="I1884" s="91"/>
      <c r="J1884" s="68"/>
      <c r="K1884" s="69"/>
      <c r="L1884" s="102"/>
      <c r="M1884" s="102"/>
      <c r="N1884" s="68"/>
      <c r="O1884" s="68"/>
      <c r="P1884" s="106"/>
    </row>
    <row r="1885" spans="2:16" x14ac:dyDescent="0.25">
      <c r="B1885" s="68"/>
      <c r="C1885" s="68"/>
      <c r="D1885" s="68"/>
      <c r="E1885" s="68"/>
      <c r="F1885" s="68"/>
      <c r="G1885" s="100"/>
      <c r="H1885" s="91"/>
      <c r="I1885" s="91"/>
      <c r="J1885" s="68"/>
      <c r="K1885" s="69"/>
      <c r="L1885" s="102"/>
      <c r="M1885" s="102"/>
      <c r="N1885" s="68"/>
      <c r="O1885" s="68"/>
      <c r="P1885" s="106"/>
    </row>
    <row r="1886" spans="2:16" x14ac:dyDescent="0.25">
      <c r="B1886" s="68"/>
      <c r="C1886" s="68"/>
      <c r="D1886" s="68"/>
      <c r="E1886" s="68"/>
      <c r="F1886" s="68"/>
      <c r="G1886" s="100"/>
      <c r="H1886" s="91"/>
      <c r="I1886" s="91"/>
      <c r="J1886" s="68"/>
      <c r="K1886" s="69"/>
      <c r="L1886" s="102"/>
      <c r="M1886" s="102"/>
      <c r="N1886" s="68"/>
      <c r="O1886" s="68"/>
      <c r="P1886" s="106"/>
    </row>
    <row r="1887" spans="2:16" x14ac:dyDescent="0.25">
      <c r="B1887" s="68"/>
      <c r="C1887" s="68"/>
      <c r="D1887" s="68"/>
      <c r="E1887" s="68"/>
      <c r="F1887" s="68"/>
      <c r="G1887" s="100"/>
      <c r="H1887" s="91"/>
      <c r="I1887" s="91"/>
      <c r="J1887" s="68"/>
      <c r="K1887" s="69"/>
      <c r="L1887" s="102"/>
      <c r="M1887" s="102"/>
      <c r="N1887" s="68"/>
      <c r="O1887" s="68"/>
      <c r="P1887" s="106"/>
    </row>
    <row r="1888" spans="2:16" x14ac:dyDescent="0.25">
      <c r="B1888" s="68"/>
      <c r="C1888" s="68"/>
      <c r="D1888" s="68"/>
      <c r="E1888" s="68"/>
      <c r="F1888" s="68"/>
      <c r="G1888" s="100"/>
      <c r="H1888" s="91"/>
      <c r="I1888" s="91"/>
      <c r="J1888" s="68"/>
      <c r="K1888" s="69"/>
      <c r="L1888" s="102"/>
      <c r="M1888" s="102"/>
      <c r="N1888" s="68"/>
      <c r="O1888" s="68"/>
      <c r="P1888" s="106"/>
    </row>
    <row r="1889" spans="2:16" x14ac:dyDescent="0.25">
      <c r="B1889" s="68"/>
      <c r="C1889" s="68"/>
      <c r="D1889" s="68"/>
      <c r="E1889" s="68"/>
      <c r="F1889" s="68"/>
      <c r="G1889" s="100"/>
      <c r="H1889" s="91"/>
      <c r="I1889" s="91"/>
      <c r="J1889" s="68"/>
      <c r="K1889" s="69"/>
      <c r="L1889" s="102"/>
      <c r="M1889" s="102"/>
      <c r="N1889" s="68"/>
      <c r="O1889" s="68"/>
      <c r="P1889" s="106"/>
    </row>
    <row r="1890" spans="2:16" x14ac:dyDescent="0.25">
      <c r="B1890" s="68"/>
      <c r="C1890" s="68"/>
      <c r="D1890" s="68"/>
      <c r="E1890" s="68"/>
      <c r="F1890" s="68"/>
      <c r="G1890" s="100"/>
      <c r="H1890" s="91"/>
      <c r="I1890" s="91"/>
      <c r="J1890" s="68"/>
      <c r="K1890" s="69"/>
      <c r="L1890" s="102"/>
      <c r="M1890" s="102"/>
      <c r="N1890" s="68"/>
      <c r="O1890" s="68"/>
      <c r="P1890" s="106"/>
    </row>
    <row r="1891" spans="2:16" x14ac:dyDescent="0.25">
      <c r="B1891" s="68"/>
      <c r="C1891" s="68"/>
      <c r="D1891" s="68"/>
      <c r="E1891" s="68"/>
      <c r="F1891" s="68"/>
      <c r="G1891" s="100"/>
      <c r="H1891" s="91"/>
      <c r="I1891" s="91"/>
      <c r="J1891" s="68"/>
      <c r="K1891" s="69"/>
      <c r="L1891" s="102"/>
      <c r="M1891" s="102"/>
      <c r="N1891" s="68"/>
      <c r="O1891" s="68"/>
      <c r="P1891" s="106"/>
    </row>
    <row r="1892" spans="2:16" x14ac:dyDescent="0.25">
      <c r="B1892" s="68"/>
      <c r="C1892" s="68"/>
      <c r="D1892" s="68"/>
      <c r="E1892" s="68"/>
      <c r="F1892" s="68"/>
      <c r="G1892" s="100"/>
      <c r="H1892" s="91"/>
      <c r="I1892" s="91"/>
      <c r="J1892" s="68"/>
      <c r="K1892" s="69"/>
      <c r="L1892" s="102"/>
      <c r="M1892" s="102"/>
      <c r="N1892" s="68"/>
      <c r="O1892" s="68"/>
      <c r="P1892" s="106"/>
    </row>
    <row r="1893" spans="2:16" x14ac:dyDescent="0.25">
      <c r="B1893" s="68"/>
      <c r="C1893" s="68"/>
      <c r="D1893" s="68"/>
      <c r="E1893" s="68"/>
      <c r="F1893" s="68"/>
      <c r="G1893" s="100"/>
      <c r="H1893" s="91"/>
      <c r="I1893" s="91"/>
      <c r="J1893" s="68"/>
      <c r="K1893" s="69"/>
      <c r="L1893" s="102"/>
      <c r="M1893" s="102"/>
      <c r="N1893" s="68"/>
      <c r="O1893" s="68"/>
      <c r="P1893" s="106"/>
    </row>
    <row r="1894" spans="2:16" x14ac:dyDescent="0.25">
      <c r="B1894" s="68"/>
      <c r="C1894" s="68"/>
      <c r="D1894" s="68"/>
      <c r="E1894" s="68"/>
      <c r="F1894" s="68"/>
      <c r="G1894" s="100"/>
      <c r="H1894" s="91"/>
      <c r="I1894" s="91"/>
      <c r="J1894" s="68"/>
      <c r="K1894" s="69"/>
      <c r="L1894" s="102"/>
      <c r="M1894" s="102"/>
      <c r="N1894" s="68"/>
      <c r="O1894" s="68"/>
      <c r="P1894" s="106"/>
    </row>
    <row r="1895" spans="2:16" x14ac:dyDescent="0.25">
      <c r="B1895" s="68"/>
      <c r="C1895" s="68"/>
      <c r="D1895" s="68"/>
      <c r="E1895" s="68"/>
      <c r="F1895" s="68"/>
      <c r="G1895" s="100"/>
      <c r="H1895" s="91"/>
      <c r="I1895" s="91"/>
      <c r="J1895" s="68"/>
      <c r="K1895" s="69"/>
      <c r="L1895" s="102"/>
      <c r="M1895" s="102"/>
      <c r="N1895" s="68"/>
      <c r="O1895" s="68"/>
      <c r="P1895" s="106"/>
    </row>
    <row r="1896" spans="2:16" x14ac:dyDescent="0.25">
      <c r="B1896" s="68"/>
      <c r="C1896" s="68"/>
      <c r="D1896" s="68"/>
      <c r="E1896" s="68"/>
      <c r="F1896" s="68"/>
      <c r="G1896" s="100"/>
      <c r="H1896" s="91"/>
      <c r="I1896" s="91"/>
      <c r="J1896" s="68"/>
      <c r="K1896" s="69"/>
      <c r="L1896" s="102"/>
      <c r="M1896" s="102"/>
      <c r="N1896" s="68"/>
      <c r="O1896" s="68"/>
      <c r="P1896" s="106"/>
    </row>
    <row r="1897" spans="2:16" x14ac:dyDescent="0.25">
      <c r="B1897" s="68"/>
      <c r="C1897" s="68"/>
      <c r="D1897" s="68"/>
      <c r="E1897" s="68"/>
      <c r="F1897" s="68"/>
      <c r="G1897" s="100"/>
      <c r="H1897" s="91"/>
      <c r="I1897" s="91"/>
      <c r="J1897" s="68"/>
      <c r="K1897" s="69"/>
      <c r="L1897" s="102"/>
      <c r="M1897" s="102"/>
      <c r="N1897" s="68"/>
      <c r="O1897" s="68"/>
      <c r="P1897" s="106"/>
    </row>
    <row r="1898" spans="2:16" x14ac:dyDescent="0.25">
      <c r="B1898" s="68"/>
      <c r="C1898" s="68"/>
      <c r="D1898" s="68"/>
      <c r="E1898" s="68"/>
      <c r="F1898" s="68"/>
      <c r="G1898" s="100"/>
      <c r="H1898" s="91"/>
      <c r="I1898" s="91"/>
      <c r="J1898" s="68"/>
      <c r="K1898" s="69"/>
      <c r="L1898" s="102"/>
      <c r="M1898" s="102"/>
      <c r="N1898" s="68"/>
      <c r="O1898" s="68"/>
      <c r="P1898" s="106"/>
    </row>
    <row r="1899" spans="2:16" x14ac:dyDescent="0.25">
      <c r="B1899" s="68"/>
      <c r="C1899" s="68"/>
      <c r="D1899" s="68"/>
      <c r="E1899" s="68"/>
      <c r="F1899" s="68"/>
      <c r="G1899" s="100"/>
      <c r="H1899" s="91"/>
      <c r="I1899" s="91"/>
      <c r="J1899" s="68"/>
      <c r="K1899" s="69"/>
      <c r="L1899" s="102"/>
      <c r="M1899" s="102"/>
      <c r="N1899" s="68"/>
      <c r="O1899" s="68"/>
      <c r="P1899" s="106"/>
    </row>
    <row r="1900" spans="2:16" x14ac:dyDescent="0.25">
      <c r="B1900" s="68"/>
      <c r="C1900" s="68"/>
      <c r="D1900" s="68"/>
      <c r="E1900" s="68"/>
      <c r="F1900" s="68"/>
      <c r="G1900" s="100"/>
      <c r="H1900" s="91"/>
      <c r="I1900" s="91"/>
      <c r="J1900" s="68"/>
      <c r="K1900" s="69"/>
      <c r="L1900" s="102"/>
      <c r="M1900" s="102"/>
      <c r="N1900" s="68"/>
      <c r="O1900" s="68"/>
      <c r="P1900" s="106"/>
    </row>
    <row r="1901" spans="2:16" x14ac:dyDescent="0.25">
      <c r="B1901" s="68"/>
      <c r="C1901" s="68"/>
      <c r="D1901" s="68"/>
      <c r="E1901" s="68"/>
      <c r="F1901" s="68"/>
      <c r="G1901" s="100"/>
      <c r="H1901" s="91"/>
      <c r="I1901" s="91"/>
      <c r="J1901" s="68"/>
      <c r="K1901" s="69"/>
      <c r="L1901" s="102"/>
      <c r="M1901" s="102"/>
      <c r="N1901" s="68"/>
      <c r="O1901" s="68"/>
      <c r="P1901" s="106"/>
    </row>
    <row r="1902" spans="2:16" x14ac:dyDescent="0.25">
      <c r="B1902" s="68"/>
      <c r="C1902" s="68"/>
      <c r="D1902" s="68"/>
      <c r="E1902" s="68"/>
      <c r="F1902" s="68"/>
      <c r="G1902" s="100"/>
      <c r="H1902" s="91"/>
      <c r="I1902" s="91"/>
      <c r="J1902" s="68"/>
      <c r="K1902" s="69"/>
      <c r="L1902" s="102"/>
      <c r="M1902" s="102"/>
      <c r="N1902" s="68"/>
      <c r="O1902" s="68"/>
      <c r="P1902" s="106"/>
    </row>
    <row r="1903" spans="2:16" x14ac:dyDescent="0.25">
      <c r="B1903" s="68"/>
      <c r="C1903" s="68"/>
      <c r="D1903" s="68"/>
      <c r="E1903" s="68"/>
      <c r="F1903" s="68"/>
      <c r="G1903" s="100"/>
      <c r="H1903" s="91"/>
      <c r="I1903" s="91"/>
      <c r="J1903" s="68"/>
      <c r="K1903" s="69"/>
      <c r="L1903" s="102"/>
      <c r="M1903" s="102"/>
      <c r="N1903" s="68"/>
      <c r="O1903" s="68"/>
      <c r="P1903" s="106"/>
    </row>
    <row r="1904" spans="2:16" x14ac:dyDescent="0.25">
      <c r="B1904" s="68"/>
      <c r="C1904" s="68"/>
      <c r="D1904" s="68"/>
      <c r="E1904" s="68"/>
      <c r="F1904" s="68"/>
      <c r="G1904" s="100"/>
      <c r="H1904" s="91"/>
      <c r="I1904" s="91"/>
      <c r="J1904" s="68"/>
      <c r="K1904" s="69"/>
      <c r="L1904" s="102"/>
      <c r="M1904" s="102"/>
      <c r="N1904" s="68"/>
      <c r="O1904" s="68"/>
      <c r="P1904" s="106"/>
    </row>
    <row r="1905" spans="2:16" x14ac:dyDescent="0.25">
      <c r="B1905" s="68"/>
      <c r="C1905" s="68"/>
      <c r="D1905" s="68"/>
      <c r="E1905" s="68"/>
      <c r="F1905" s="68"/>
      <c r="G1905" s="100"/>
      <c r="H1905" s="91"/>
      <c r="I1905" s="91"/>
      <c r="J1905" s="68"/>
      <c r="K1905" s="69"/>
      <c r="L1905" s="102"/>
      <c r="M1905" s="102"/>
      <c r="N1905" s="68"/>
      <c r="O1905" s="68"/>
      <c r="P1905" s="106"/>
    </row>
    <row r="1906" spans="2:16" x14ac:dyDescent="0.25">
      <c r="B1906" s="68"/>
      <c r="C1906" s="68"/>
      <c r="D1906" s="68"/>
      <c r="E1906" s="68"/>
      <c r="F1906" s="68"/>
      <c r="G1906" s="100"/>
      <c r="H1906" s="91"/>
      <c r="I1906" s="91"/>
      <c r="J1906" s="68"/>
      <c r="K1906" s="69"/>
      <c r="L1906" s="102"/>
      <c r="M1906" s="102"/>
      <c r="N1906" s="68"/>
      <c r="O1906" s="68"/>
      <c r="P1906" s="106"/>
    </row>
    <row r="1907" spans="2:16" x14ac:dyDescent="0.25">
      <c r="B1907" s="68"/>
      <c r="C1907" s="68"/>
      <c r="D1907" s="68"/>
      <c r="E1907" s="68"/>
      <c r="F1907" s="68"/>
      <c r="G1907" s="100"/>
      <c r="H1907" s="91"/>
      <c r="I1907" s="91"/>
      <c r="J1907" s="68"/>
      <c r="K1907" s="69"/>
      <c r="L1907" s="102"/>
      <c r="M1907" s="102"/>
      <c r="N1907" s="68"/>
      <c r="O1907" s="68"/>
      <c r="P1907" s="106"/>
    </row>
    <row r="1908" spans="2:16" x14ac:dyDescent="0.25">
      <c r="B1908" s="68"/>
      <c r="C1908" s="68"/>
      <c r="D1908" s="68"/>
      <c r="E1908" s="68"/>
      <c r="F1908" s="68"/>
      <c r="G1908" s="100"/>
      <c r="H1908" s="91"/>
      <c r="I1908" s="91"/>
      <c r="J1908" s="68"/>
      <c r="K1908" s="69"/>
      <c r="L1908" s="102"/>
      <c r="M1908" s="102"/>
      <c r="N1908" s="68"/>
      <c r="O1908" s="68"/>
      <c r="P1908" s="106"/>
    </row>
    <row r="1909" spans="2:16" x14ac:dyDescent="0.25">
      <c r="B1909" s="68"/>
      <c r="C1909" s="68"/>
      <c r="D1909" s="68"/>
      <c r="E1909" s="68"/>
      <c r="F1909" s="68"/>
      <c r="G1909" s="100"/>
      <c r="H1909" s="91"/>
      <c r="I1909" s="91"/>
      <c r="J1909" s="68"/>
      <c r="K1909" s="69"/>
      <c r="L1909" s="102"/>
      <c r="M1909" s="102"/>
      <c r="N1909" s="68"/>
      <c r="O1909" s="68"/>
      <c r="P1909" s="106"/>
    </row>
    <row r="1910" spans="2:16" x14ac:dyDescent="0.25">
      <c r="B1910" s="68"/>
      <c r="C1910" s="68"/>
      <c r="D1910" s="68"/>
      <c r="E1910" s="68"/>
      <c r="F1910" s="68"/>
      <c r="G1910" s="100"/>
      <c r="H1910" s="91"/>
      <c r="I1910" s="91"/>
      <c r="J1910" s="68"/>
      <c r="K1910" s="69"/>
      <c r="L1910" s="102"/>
      <c r="M1910" s="102"/>
      <c r="N1910" s="68"/>
      <c r="O1910" s="68"/>
      <c r="P1910" s="106"/>
    </row>
    <row r="1911" spans="2:16" x14ac:dyDescent="0.25">
      <c r="B1911" s="68"/>
      <c r="C1911" s="68"/>
      <c r="D1911" s="68"/>
      <c r="E1911" s="68"/>
      <c r="F1911" s="68"/>
      <c r="G1911" s="100"/>
      <c r="H1911" s="91"/>
      <c r="I1911" s="91"/>
      <c r="J1911" s="68"/>
      <c r="K1911" s="69"/>
      <c r="L1911" s="102"/>
      <c r="M1911" s="102"/>
      <c r="N1911" s="68"/>
      <c r="O1911" s="68"/>
      <c r="P1911" s="106"/>
    </row>
    <row r="1912" spans="2:16" x14ac:dyDescent="0.25">
      <c r="B1912" s="68"/>
      <c r="C1912" s="68"/>
      <c r="D1912" s="68"/>
      <c r="E1912" s="68"/>
      <c r="F1912" s="68"/>
      <c r="G1912" s="100"/>
      <c r="H1912" s="91"/>
      <c r="I1912" s="91"/>
      <c r="J1912" s="68"/>
      <c r="K1912" s="69"/>
      <c r="L1912" s="102"/>
      <c r="M1912" s="102"/>
      <c r="N1912" s="68"/>
      <c r="O1912" s="68"/>
      <c r="P1912" s="106"/>
    </row>
    <row r="1913" spans="2:16" x14ac:dyDescent="0.25">
      <c r="B1913" s="68"/>
      <c r="C1913" s="68"/>
      <c r="D1913" s="68"/>
      <c r="E1913" s="68"/>
      <c r="F1913" s="68"/>
      <c r="G1913" s="100"/>
      <c r="H1913" s="91"/>
      <c r="I1913" s="91"/>
      <c r="J1913" s="68"/>
      <c r="K1913" s="69"/>
      <c r="L1913" s="102"/>
      <c r="M1913" s="102"/>
      <c r="N1913" s="68"/>
      <c r="O1913" s="68"/>
      <c r="P1913" s="106"/>
    </row>
    <row r="1914" spans="2:16" x14ac:dyDescent="0.25">
      <c r="B1914" s="68"/>
      <c r="C1914" s="68"/>
      <c r="D1914" s="68"/>
      <c r="E1914" s="68"/>
      <c r="F1914" s="68"/>
      <c r="G1914" s="100"/>
      <c r="H1914" s="91"/>
      <c r="I1914" s="91"/>
      <c r="J1914" s="68"/>
      <c r="K1914" s="69"/>
      <c r="L1914" s="102"/>
      <c r="M1914" s="102"/>
      <c r="N1914" s="68"/>
      <c r="O1914" s="68"/>
      <c r="P1914" s="106"/>
    </row>
    <row r="1915" spans="2:16" x14ac:dyDescent="0.25">
      <c r="B1915" s="68"/>
      <c r="C1915" s="68"/>
      <c r="D1915" s="68"/>
      <c r="E1915" s="68"/>
      <c r="F1915" s="68"/>
      <c r="G1915" s="100"/>
      <c r="H1915" s="91"/>
      <c r="I1915" s="91"/>
      <c r="J1915" s="68"/>
      <c r="K1915" s="69"/>
      <c r="L1915" s="102"/>
      <c r="M1915" s="102"/>
      <c r="N1915" s="68"/>
      <c r="O1915" s="68"/>
      <c r="P1915" s="106"/>
    </row>
    <row r="1916" spans="2:16" x14ac:dyDescent="0.25">
      <c r="B1916" s="68"/>
      <c r="C1916" s="68"/>
      <c r="D1916" s="68"/>
      <c r="E1916" s="68"/>
      <c r="F1916" s="68"/>
      <c r="G1916" s="100"/>
      <c r="H1916" s="91"/>
      <c r="I1916" s="91"/>
      <c r="J1916" s="68"/>
      <c r="K1916" s="69"/>
      <c r="L1916" s="102"/>
      <c r="M1916" s="102"/>
      <c r="N1916" s="68"/>
      <c r="O1916" s="68"/>
      <c r="P1916" s="106"/>
    </row>
    <row r="1917" spans="2:16" x14ac:dyDescent="0.25">
      <c r="B1917" s="68"/>
      <c r="C1917" s="68"/>
      <c r="D1917" s="68"/>
      <c r="E1917" s="68"/>
      <c r="F1917" s="68"/>
      <c r="G1917" s="100"/>
      <c r="H1917" s="91"/>
      <c r="I1917" s="91"/>
      <c r="J1917" s="68"/>
      <c r="K1917" s="69"/>
      <c r="L1917" s="102"/>
      <c r="M1917" s="102"/>
      <c r="N1917" s="68"/>
      <c r="O1917" s="68"/>
      <c r="P1917" s="106"/>
    </row>
    <row r="1918" spans="2:16" x14ac:dyDescent="0.25">
      <c r="B1918" s="68"/>
      <c r="C1918" s="68"/>
      <c r="D1918" s="68"/>
      <c r="E1918" s="68"/>
      <c r="F1918" s="68"/>
      <c r="G1918" s="100"/>
      <c r="H1918" s="91"/>
      <c r="I1918" s="91"/>
      <c r="J1918" s="68"/>
      <c r="K1918" s="69"/>
      <c r="L1918" s="102"/>
      <c r="M1918" s="102"/>
      <c r="N1918" s="68"/>
      <c r="O1918" s="68"/>
      <c r="P1918" s="106"/>
    </row>
    <row r="1919" spans="2:16" x14ac:dyDescent="0.25">
      <c r="B1919" s="68"/>
      <c r="C1919" s="68"/>
      <c r="D1919" s="68"/>
      <c r="E1919" s="68"/>
      <c r="F1919" s="68"/>
      <c r="G1919" s="100"/>
      <c r="H1919" s="91"/>
      <c r="I1919" s="91"/>
      <c r="J1919" s="68"/>
      <c r="K1919" s="69"/>
      <c r="L1919" s="102"/>
      <c r="M1919" s="102"/>
      <c r="N1919" s="68"/>
      <c r="O1919" s="68"/>
      <c r="P1919" s="106"/>
    </row>
    <row r="1920" spans="2:16" x14ac:dyDescent="0.25">
      <c r="B1920" s="68"/>
      <c r="C1920" s="68"/>
      <c r="D1920" s="68"/>
      <c r="E1920" s="68"/>
      <c r="F1920" s="68"/>
      <c r="G1920" s="100"/>
      <c r="H1920" s="91"/>
      <c r="I1920" s="91"/>
      <c r="J1920" s="68"/>
      <c r="K1920" s="69"/>
      <c r="L1920" s="102"/>
      <c r="M1920" s="102"/>
      <c r="N1920" s="68"/>
      <c r="O1920" s="68"/>
      <c r="P1920" s="106"/>
    </row>
    <row r="1921" spans="2:16" x14ac:dyDescent="0.25">
      <c r="B1921" s="68"/>
      <c r="C1921" s="68"/>
      <c r="D1921" s="68"/>
      <c r="E1921" s="68"/>
      <c r="F1921" s="68"/>
      <c r="G1921" s="100"/>
      <c r="H1921" s="91"/>
      <c r="I1921" s="91"/>
      <c r="J1921" s="68"/>
      <c r="K1921" s="69"/>
      <c r="L1921" s="102"/>
      <c r="M1921" s="102"/>
      <c r="N1921" s="68"/>
      <c r="O1921" s="68"/>
      <c r="P1921" s="106"/>
    </row>
    <row r="1922" spans="2:16" x14ac:dyDescent="0.25">
      <c r="B1922" s="68"/>
      <c r="C1922" s="68"/>
      <c r="D1922" s="68"/>
      <c r="E1922" s="68"/>
      <c r="F1922" s="68"/>
      <c r="G1922" s="100"/>
      <c r="H1922" s="91"/>
      <c r="I1922" s="91"/>
      <c r="J1922" s="68"/>
      <c r="K1922" s="69"/>
      <c r="L1922" s="102"/>
      <c r="M1922" s="102"/>
      <c r="N1922" s="68"/>
      <c r="O1922" s="68"/>
      <c r="P1922" s="106"/>
    </row>
    <row r="1923" spans="2:16" x14ac:dyDescent="0.25">
      <c r="B1923" s="68"/>
      <c r="C1923" s="68"/>
      <c r="D1923" s="68"/>
      <c r="E1923" s="68"/>
      <c r="F1923" s="68"/>
      <c r="G1923" s="100"/>
      <c r="H1923" s="91"/>
      <c r="I1923" s="91"/>
      <c r="J1923" s="68"/>
      <c r="K1923" s="69"/>
      <c r="L1923" s="102"/>
      <c r="M1923" s="102"/>
      <c r="N1923" s="68"/>
      <c r="O1923" s="68"/>
      <c r="P1923" s="106"/>
    </row>
    <row r="1924" spans="2:16" x14ac:dyDescent="0.25">
      <c r="B1924" s="68"/>
      <c r="C1924" s="68"/>
      <c r="D1924" s="68"/>
      <c r="E1924" s="68"/>
      <c r="F1924" s="68"/>
      <c r="G1924" s="100"/>
      <c r="H1924" s="91"/>
      <c r="I1924" s="91"/>
      <c r="J1924" s="68"/>
      <c r="K1924" s="69"/>
      <c r="L1924" s="102"/>
      <c r="M1924" s="102"/>
      <c r="N1924" s="68"/>
      <c r="O1924" s="68"/>
      <c r="P1924" s="106"/>
    </row>
    <row r="1925" spans="2:16" x14ac:dyDescent="0.25">
      <c r="B1925" s="68"/>
      <c r="C1925" s="68"/>
      <c r="D1925" s="68"/>
      <c r="E1925" s="68"/>
      <c r="F1925" s="68"/>
      <c r="G1925" s="100"/>
      <c r="H1925" s="91"/>
      <c r="I1925" s="91"/>
      <c r="J1925" s="68"/>
      <c r="K1925" s="69"/>
      <c r="L1925" s="102"/>
      <c r="M1925" s="102"/>
      <c r="N1925" s="68"/>
      <c r="O1925" s="68"/>
      <c r="P1925" s="106"/>
    </row>
    <row r="1926" spans="2:16" x14ac:dyDescent="0.25">
      <c r="B1926" s="68"/>
      <c r="C1926" s="68"/>
      <c r="D1926" s="68"/>
      <c r="E1926" s="68"/>
      <c r="F1926" s="68"/>
      <c r="G1926" s="100"/>
      <c r="H1926" s="91"/>
      <c r="I1926" s="91"/>
      <c r="J1926" s="68"/>
      <c r="K1926" s="69"/>
      <c r="L1926" s="102"/>
      <c r="M1926" s="102"/>
      <c r="N1926" s="68"/>
      <c r="O1926" s="68"/>
      <c r="P1926" s="106"/>
    </row>
    <row r="1927" spans="2:16" x14ac:dyDescent="0.25">
      <c r="B1927" s="68"/>
      <c r="C1927" s="68"/>
      <c r="D1927" s="68"/>
      <c r="E1927" s="68"/>
      <c r="F1927" s="68"/>
      <c r="G1927" s="100"/>
      <c r="H1927" s="91"/>
      <c r="I1927" s="91"/>
      <c r="J1927" s="68"/>
      <c r="K1927" s="69"/>
      <c r="L1927" s="102"/>
      <c r="M1927" s="102"/>
      <c r="N1927" s="68"/>
      <c r="O1927" s="68"/>
      <c r="P1927" s="106"/>
    </row>
    <row r="1928" spans="2:16" x14ac:dyDescent="0.25">
      <c r="B1928" s="68"/>
      <c r="C1928" s="68"/>
      <c r="D1928" s="68"/>
      <c r="E1928" s="68"/>
      <c r="F1928" s="68"/>
      <c r="G1928" s="100"/>
      <c r="H1928" s="91"/>
      <c r="I1928" s="91"/>
      <c r="J1928" s="68"/>
      <c r="K1928" s="69"/>
      <c r="L1928" s="102"/>
      <c r="M1928" s="102"/>
      <c r="N1928" s="68"/>
      <c r="O1928" s="68"/>
      <c r="P1928" s="106"/>
    </row>
    <row r="1929" spans="2:16" x14ac:dyDescent="0.25">
      <c r="B1929" s="68"/>
      <c r="C1929" s="68"/>
      <c r="D1929" s="68"/>
      <c r="E1929" s="68"/>
      <c r="F1929" s="68"/>
      <c r="G1929" s="100"/>
      <c r="H1929" s="91"/>
      <c r="I1929" s="91"/>
      <c r="J1929" s="68"/>
      <c r="K1929" s="69"/>
      <c r="L1929" s="102"/>
      <c r="M1929" s="102"/>
      <c r="N1929" s="68"/>
      <c r="O1929" s="68"/>
      <c r="P1929" s="106"/>
    </row>
    <row r="1930" spans="2:16" x14ac:dyDescent="0.25">
      <c r="B1930" s="68"/>
      <c r="C1930" s="68"/>
      <c r="D1930" s="68"/>
      <c r="E1930" s="68"/>
      <c r="F1930" s="68"/>
      <c r="G1930" s="100"/>
      <c r="H1930" s="91"/>
      <c r="I1930" s="91"/>
      <c r="J1930" s="68"/>
      <c r="K1930" s="69"/>
      <c r="L1930" s="102"/>
      <c r="M1930" s="102"/>
      <c r="N1930" s="68"/>
      <c r="O1930" s="68"/>
      <c r="P1930" s="106"/>
    </row>
    <row r="1931" spans="2:16" x14ac:dyDescent="0.25">
      <c r="B1931" s="68"/>
      <c r="C1931" s="68"/>
      <c r="D1931" s="68"/>
      <c r="E1931" s="68"/>
      <c r="F1931" s="68"/>
      <c r="G1931" s="100"/>
      <c r="H1931" s="91"/>
      <c r="I1931" s="91"/>
      <c r="J1931" s="68"/>
      <c r="K1931" s="69"/>
      <c r="L1931" s="102"/>
      <c r="M1931" s="102"/>
      <c r="N1931" s="68"/>
      <c r="O1931" s="68"/>
      <c r="P1931" s="106"/>
    </row>
    <row r="1932" spans="2:16" x14ac:dyDescent="0.25">
      <c r="B1932" s="68"/>
      <c r="C1932" s="68"/>
      <c r="D1932" s="68"/>
      <c r="E1932" s="68"/>
      <c r="F1932" s="68"/>
      <c r="G1932" s="100"/>
      <c r="H1932" s="91"/>
      <c r="I1932" s="91"/>
      <c r="J1932" s="68"/>
      <c r="K1932" s="69"/>
      <c r="L1932" s="102"/>
      <c r="M1932" s="102"/>
      <c r="N1932" s="68"/>
      <c r="O1932" s="68"/>
      <c r="P1932" s="106"/>
    </row>
    <row r="1933" spans="2:16" x14ac:dyDescent="0.25">
      <c r="B1933" s="68"/>
      <c r="C1933" s="68"/>
      <c r="D1933" s="68"/>
      <c r="E1933" s="68"/>
      <c r="F1933" s="68"/>
      <c r="G1933" s="100"/>
      <c r="H1933" s="91"/>
      <c r="I1933" s="91"/>
      <c r="J1933" s="68"/>
      <c r="K1933" s="69"/>
      <c r="L1933" s="102"/>
      <c r="M1933" s="102"/>
      <c r="N1933" s="68"/>
      <c r="O1933" s="68"/>
      <c r="P1933" s="106"/>
    </row>
    <row r="1934" spans="2:16" x14ac:dyDescent="0.25">
      <c r="B1934" s="68"/>
      <c r="C1934" s="68"/>
      <c r="D1934" s="68"/>
      <c r="E1934" s="68"/>
      <c r="F1934" s="68"/>
      <c r="G1934" s="100"/>
      <c r="H1934" s="91"/>
      <c r="I1934" s="91"/>
      <c r="J1934" s="68"/>
      <c r="K1934" s="69"/>
      <c r="L1934" s="102"/>
      <c r="M1934" s="102"/>
      <c r="N1934" s="68"/>
      <c r="O1934" s="68"/>
      <c r="P1934" s="106"/>
    </row>
    <row r="1935" spans="2:16" x14ac:dyDescent="0.25">
      <c r="B1935" s="68"/>
      <c r="C1935" s="68"/>
      <c r="D1935" s="68"/>
      <c r="E1935" s="68"/>
      <c r="F1935" s="68"/>
      <c r="G1935" s="100"/>
      <c r="H1935" s="91"/>
      <c r="I1935" s="91"/>
      <c r="J1935" s="68"/>
      <c r="K1935" s="69"/>
      <c r="L1935" s="102"/>
      <c r="M1935" s="102"/>
      <c r="N1935" s="68"/>
      <c r="O1935" s="68"/>
      <c r="P1935" s="106"/>
    </row>
    <row r="1936" spans="2:16" x14ac:dyDescent="0.25">
      <c r="B1936" s="68"/>
      <c r="C1936" s="68"/>
      <c r="D1936" s="68"/>
      <c r="E1936" s="68"/>
      <c r="F1936" s="68"/>
      <c r="G1936" s="100"/>
      <c r="H1936" s="91"/>
      <c r="I1936" s="91"/>
      <c r="J1936" s="68"/>
      <c r="K1936" s="69"/>
      <c r="L1936" s="102"/>
      <c r="M1936" s="102"/>
      <c r="N1936" s="68"/>
      <c r="O1936" s="68"/>
      <c r="P1936" s="106"/>
    </row>
    <row r="1937" spans="2:16" x14ac:dyDescent="0.25">
      <c r="B1937" s="68"/>
      <c r="C1937" s="68"/>
      <c r="D1937" s="68"/>
      <c r="E1937" s="68"/>
      <c r="F1937" s="68"/>
      <c r="G1937" s="100"/>
      <c r="H1937" s="91"/>
      <c r="I1937" s="91"/>
      <c r="J1937" s="68"/>
      <c r="K1937" s="69"/>
      <c r="L1937" s="102"/>
      <c r="M1937" s="102"/>
      <c r="N1937" s="68"/>
      <c r="O1937" s="68"/>
      <c r="P1937" s="106"/>
    </row>
    <row r="1938" spans="2:16" x14ac:dyDescent="0.25">
      <c r="B1938" s="68"/>
      <c r="C1938" s="68"/>
      <c r="D1938" s="68"/>
      <c r="E1938" s="68"/>
      <c r="F1938" s="68"/>
      <c r="G1938" s="100"/>
      <c r="H1938" s="91"/>
      <c r="I1938" s="91"/>
      <c r="J1938" s="68"/>
      <c r="K1938" s="69"/>
      <c r="L1938" s="102"/>
      <c r="M1938" s="102"/>
      <c r="N1938" s="68"/>
      <c r="O1938" s="68"/>
      <c r="P1938" s="106"/>
    </row>
    <row r="1939" spans="2:16" x14ac:dyDescent="0.25">
      <c r="B1939" s="68"/>
      <c r="C1939" s="68"/>
      <c r="D1939" s="68"/>
      <c r="E1939" s="68"/>
      <c r="F1939" s="68"/>
      <c r="G1939" s="100"/>
      <c r="H1939" s="91"/>
      <c r="I1939" s="91"/>
      <c r="J1939" s="68"/>
      <c r="K1939" s="69"/>
      <c r="L1939" s="102"/>
      <c r="M1939" s="102"/>
      <c r="N1939" s="68"/>
      <c r="O1939" s="68"/>
      <c r="P1939" s="106"/>
    </row>
    <row r="1940" spans="2:16" x14ac:dyDescent="0.25">
      <c r="B1940" s="68"/>
      <c r="C1940" s="68"/>
      <c r="D1940" s="68"/>
      <c r="E1940" s="68"/>
      <c r="F1940" s="68"/>
      <c r="G1940" s="100"/>
      <c r="H1940" s="91"/>
      <c r="I1940" s="91"/>
      <c r="J1940" s="68"/>
      <c r="K1940" s="69"/>
      <c r="L1940" s="102"/>
      <c r="M1940" s="102"/>
      <c r="N1940" s="68"/>
      <c r="O1940" s="68"/>
      <c r="P1940" s="106"/>
    </row>
    <row r="1941" spans="2:16" x14ac:dyDescent="0.25">
      <c r="B1941" s="68"/>
      <c r="C1941" s="68"/>
      <c r="D1941" s="68"/>
      <c r="E1941" s="68"/>
      <c r="F1941" s="68"/>
      <c r="G1941" s="100"/>
      <c r="H1941" s="91"/>
      <c r="I1941" s="91"/>
      <c r="J1941" s="68"/>
      <c r="K1941" s="69"/>
      <c r="L1941" s="102"/>
      <c r="M1941" s="102"/>
      <c r="N1941" s="68"/>
      <c r="O1941" s="68"/>
      <c r="P1941" s="106"/>
    </row>
    <row r="1942" spans="2:16" x14ac:dyDescent="0.25">
      <c r="B1942" s="68"/>
      <c r="C1942" s="68"/>
      <c r="D1942" s="68"/>
      <c r="E1942" s="68"/>
      <c r="F1942" s="68"/>
      <c r="G1942" s="100"/>
      <c r="H1942" s="91"/>
      <c r="I1942" s="91"/>
      <c r="J1942" s="68"/>
      <c r="K1942" s="69"/>
      <c r="L1942" s="102"/>
      <c r="M1942" s="102"/>
      <c r="N1942" s="68"/>
      <c r="O1942" s="68"/>
      <c r="P1942" s="106"/>
    </row>
    <row r="1943" spans="2:16" x14ac:dyDescent="0.25">
      <c r="B1943" s="68"/>
      <c r="C1943" s="68"/>
      <c r="D1943" s="68"/>
      <c r="E1943" s="68"/>
      <c r="F1943" s="68"/>
      <c r="G1943" s="100"/>
      <c r="H1943" s="91"/>
      <c r="I1943" s="91"/>
      <c r="J1943" s="68"/>
      <c r="K1943" s="69"/>
      <c r="L1943" s="102"/>
      <c r="M1943" s="102"/>
      <c r="N1943" s="68"/>
      <c r="O1943" s="68"/>
      <c r="P1943" s="106"/>
    </row>
    <row r="1944" spans="2:16" x14ac:dyDescent="0.25">
      <c r="B1944" s="68"/>
      <c r="C1944" s="68"/>
      <c r="D1944" s="68"/>
      <c r="E1944" s="68"/>
      <c r="F1944" s="68"/>
      <c r="G1944" s="100"/>
      <c r="H1944" s="91"/>
      <c r="I1944" s="91"/>
      <c r="J1944" s="68"/>
      <c r="K1944" s="69"/>
      <c r="L1944" s="102"/>
      <c r="M1944" s="102"/>
      <c r="N1944" s="68"/>
      <c r="O1944" s="68"/>
      <c r="P1944" s="106"/>
    </row>
    <row r="1945" spans="2:16" x14ac:dyDescent="0.25">
      <c r="B1945" s="68"/>
      <c r="C1945" s="68"/>
      <c r="D1945" s="68"/>
      <c r="E1945" s="68"/>
      <c r="F1945" s="68"/>
      <c r="G1945" s="100"/>
      <c r="H1945" s="91"/>
      <c r="I1945" s="91"/>
      <c r="J1945" s="68"/>
      <c r="K1945" s="69"/>
      <c r="L1945" s="102"/>
      <c r="M1945" s="102"/>
      <c r="N1945" s="68"/>
      <c r="O1945" s="68"/>
      <c r="P1945" s="106"/>
    </row>
    <row r="1946" spans="2:16" x14ac:dyDescent="0.25">
      <c r="B1946" s="68"/>
      <c r="C1946" s="68"/>
      <c r="D1946" s="68"/>
      <c r="E1946" s="68"/>
      <c r="F1946" s="68"/>
      <c r="G1946" s="100"/>
      <c r="H1946" s="91"/>
      <c r="I1946" s="91"/>
      <c r="J1946" s="68"/>
      <c r="K1946" s="69"/>
      <c r="L1946" s="102"/>
      <c r="M1946" s="102"/>
      <c r="N1946" s="68"/>
      <c r="O1946" s="68"/>
      <c r="P1946" s="106"/>
    </row>
    <row r="1947" spans="2:16" x14ac:dyDescent="0.25">
      <c r="B1947" s="68"/>
      <c r="C1947" s="68"/>
      <c r="D1947" s="68"/>
      <c r="E1947" s="68"/>
      <c r="F1947" s="68"/>
      <c r="G1947" s="100"/>
      <c r="H1947" s="91"/>
      <c r="I1947" s="91"/>
      <c r="J1947" s="68"/>
      <c r="K1947" s="69"/>
      <c r="L1947" s="102"/>
      <c r="M1947" s="102"/>
      <c r="N1947" s="68"/>
      <c r="O1947" s="68"/>
      <c r="P1947" s="106"/>
    </row>
    <row r="1948" spans="2:16" x14ac:dyDescent="0.25">
      <c r="B1948" s="68"/>
      <c r="C1948" s="68"/>
      <c r="D1948" s="68"/>
      <c r="E1948" s="68"/>
      <c r="F1948" s="68"/>
      <c r="G1948" s="100"/>
      <c r="H1948" s="91"/>
      <c r="I1948" s="91"/>
      <c r="J1948" s="68"/>
      <c r="K1948" s="69"/>
      <c r="L1948" s="102"/>
      <c r="M1948" s="102"/>
      <c r="N1948" s="68"/>
      <c r="O1948" s="68"/>
      <c r="P1948" s="106"/>
    </row>
    <row r="1949" spans="2:16" x14ac:dyDescent="0.25">
      <c r="B1949" s="68"/>
      <c r="C1949" s="68"/>
      <c r="D1949" s="68"/>
      <c r="E1949" s="68"/>
      <c r="F1949" s="68"/>
      <c r="G1949" s="100"/>
      <c r="H1949" s="91"/>
      <c r="I1949" s="91"/>
      <c r="J1949" s="68"/>
      <c r="K1949" s="69"/>
      <c r="L1949" s="102"/>
      <c r="M1949" s="102"/>
      <c r="N1949" s="68"/>
      <c r="O1949" s="68"/>
      <c r="P1949" s="106"/>
    </row>
    <row r="1950" spans="2:16" x14ac:dyDescent="0.25">
      <c r="B1950" s="68"/>
      <c r="C1950" s="68"/>
      <c r="D1950" s="68"/>
      <c r="E1950" s="68"/>
      <c r="F1950" s="68"/>
      <c r="G1950" s="100"/>
      <c r="H1950" s="91"/>
      <c r="I1950" s="91"/>
      <c r="J1950" s="68"/>
      <c r="K1950" s="69"/>
      <c r="L1950" s="102"/>
      <c r="M1950" s="102"/>
      <c r="N1950" s="68"/>
      <c r="O1950" s="68"/>
      <c r="P1950" s="106"/>
    </row>
    <row r="1951" spans="2:16" x14ac:dyDescent="0.25">
      <c r="L1951" s="1"/>
      <c r="M1951" s="1"/>
    </row>
    <row r="1952" spans="2:16" x14ac:dyDescent="0.25">
      <c r="L1952" s="1"/>
      <c r="M1952" s="1"/>
    </row>
    <row r="1953" spans="12:13" x14ac:dyDescent="0.25">
      <c r="L1953" s="1"/>
      <c r="M1953" s="1"/>
    </row>
    <row r="1954" spans="12:13" x14ac:dyDescent="0.25">
      <c r="L1954" s="1"/>
      <c r="M1954" s="1"/>
    </row>
    <row r="1955" spans="12:13" x14ac:dyDescent="0.25">
      <c r="L1955" s="1"/>
      <c r="M1955" s="1"/>
    </row>
    <row r="1956" spans="12:13" x14ac:dyDescent="0.25">
      <c r="L1956" s="1"/>
      <c r="M1956" s="1"/>
    </row>
    <row r="1957" spans="12:13" x14ac:dyDescent="0.25">
      <c r="L1957" s="1"/>
      <c r="M1957" s="1"/>
    </row>
    <row r="1958" spans="12:13" x14ac:dyDescent="0.25">
      <c r="L1958" s="1"/>
      <c r="M1958" s="1"/>
    </row>
    <row r="1959" spans="12:13" x14ac:dyDescent="0.25">
      <c r="L1959" s="1"/>
      <c r="M1959" s="1"/>
    </row>
    <row r="1960" spans="12:13" x14ac:dyDescent="0.25">
      <c r="L1960" s="1"/>
      <c r="M1960" s="1"/>
    </row>
    <row r="1961" spans="12:13" x14ac:dyDescent="0.25">
      <c r="L1961" s="1"/>
      <c r="M1961" s="1"/>
    </row>
    <row r="1962" spans="12:13" x14ac:dyDescent="0.25">
      <c r="L1962" s="1"/>
      <c r="M1962" s="1"/>
    </row>
    <row r="1963" spans="12:13" x14ac:dyDescent="0.25">
      <c r="L1963" s="1"/>
      <c r="M1963" s="1"/>
    </row>
    <row r="1964" spans="12:13" x14ac:dyDescent="0.25">
      <c r="L1964" s="1"/>
      <c r="M1964" s="1"/>
    </row>
    <row r="1965" spans="12:13" x14ac:dyDescent="0.25">
      <c r="L1965" s="1"/>
      <c r="M1965" s="1"/>
    </row>
    <row r="1966" spans="12:13" x14ac:dyDescent="0.25">
      <c r="L1966" s="1"/>
      <c r="M1966" s="1"/>
    </row>
    <row r="1967" spans="12:13" x14ac:dyDescent="0.25">
      <c r="L1967" s="1"/>
      <c r="M1967" s="1"/>
    </row>
    <row r="1968" spans="12:13" x14ac:dyDescent="0.25">
      <c r="L1968" s="1"/>
      <c r="M1968" s="1"/>
    </row>
    <row r="1969" spans="12:13" x14ac:dyDescent="0.25">
      <c r="L1969" s="1"/>
      <c r="M1969" s="1"/>
    </row>
    <row r="1970" spans="12:13" x14ac:dyDescent="0.25">
      <c r="L1970" s="1"/>
      <c r="M1970" s="1"/>
    </row>
    <row r="1971" spans="12:13" x14ac:dyDescent="0.25">
      <c r="L1971" s="1"/>
      <c r="M1971" s="1"/>
    </row>
    <row r="1972" spans="12:13" x14ac:dyDescent="0.25">
      <c r="L1972" s="1"/>
      <c r="M1972" s="1"/>
    </row>
    <row r="1973" spans="12:13" x14ac:dyDescent="0.25">
      <c r="L1973" s="1"/>
      <c r="M1973" s="1"/>
    </row>
    <row r="1974" spans="12:13" x14ac:dyDescent="0.25">
      <c r="L1974" s="1"/>
      <c r="M1974" s="1"/>
    </row>
    <row r="1975" spans="12:13" x14ac:dyDescent="0.25">
      <c r="L1975" s="1"/>
      <c r="M1975" s="1"/>
    </row>
    <row r="1976" spans="12:13" x14ac:dyDescent="0.25">
      <c r="L1976" s="1"/>
      <c r="M1976" s="1"/>
    </row>
    <row r="1977" spans="12:13" x14ac:dyDescent="0.25">
      <c r="L1977" s="1"/>
      <c r="M1977" s="1"/>
    </row>
    <row r="1978" spans="12:13" x14ac:dyDescent="0.25">
      <c r="L1978" s="1"/>
      <c r="M1978" s="1"/>
    </row>
    <row r="1979" spans="12:13" x14ac:dyDescent="0.25">
      <c r="L1979" s="1"/>
      <c r="M1979" s="1"/>
    </row>
    <row r="1980" spans="12:13" x14ac:dyDescent="0.25">
      <c r="L1980" s="1"/>
      <c r="M1980" s="1"/>
    </row>
    <row r="1981" spans="12:13" x14ac:dyDescent="0.25">
      <c r="L1981" s="1"/>
      <c r="M1981" s="1"/>
    </row>
    <row r="1982" spans="12:13" x14ac:dyDescent="0.25">
      <c r="L1982" s="1"/>
      <c r="M1982" s="1"/>
    </row>
    <row r="1983" spans="12:13" x14ac:dyDescent="0.25">
      <c r="L1983" s="1"/>
      <c r="M1983" s="1"/>
    </row>
    <row r="1984" spans="12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2:13" x14ac:dyDescent="0.25">
      <c r="L2049" s="1"/>
      <c r="M2049" s="1"/>
    </row>
    <row r="2050" spans="12:13" x14ac:dyDescent="0.25">
      <c r="L2050" s="1"/>
      <c r="M2050" s="1"/>
    </row>
    <row r="2051" spans="12:13" x14ac:dyDescent="0.25">
      <c r="L2051" s="1"/>
      <c r="M2051" s="1"/>
    </row>
    <row r="2052" spans="12:13" x14ac:dyDescent="0.25">
      <c r="L2052" s="1"/>
      <c r="M2052" s="1"/>
    </row>
    <row r="2053" spans="12:13" x14ac:dyDescent="0.25">
      <c r="L2053" s="1"/>
      <c r="M2053" s="1"/>
    </row>
    <row r="2054" spans="12:13" x14ac:dyDescent="0.25">
      <c r="L2054" s="1"/>
      <c r="M2054" s="1"/>
    </row>
    <row r="2055" spans="12:13" x14ac:dyDescent="0.25">
      <c r="L2055" s="1"/>
      <c r="M2055" s="1"/>
    </row>
    <row r="2056" spans="12:13" x14ac:dyDescent="0.25">
      <c r="L2056" s="1"/>
      <c r="M2056" s="1"/>
    </row>
    <row r="2057" spans="12:13" x14ac:dyDescent="0.25">
      <c r="L2057" s="1"/>
      <c r="M2057" s="1"/>
    </row>
    <row r="2058" spans="12:13" x14ac:dyDescent="0.25">
      <c r="L2058" s="1"/>
      <c r="M2058" s="1"/>
    </row>
    <row r="2059" spans="12:13" x14ac:dyDescent="0.25">
      <c r="L2059" s="1"/>
      <c r="M2059" s="1"/>
    </row>
    <row r="2060" spans="12:13" x14ac:dyDescent="0.25">
      <c r="L2060" s="1"/>
      <c r="M2060" s="1"/>
    </row>
    <row r="2061" spans="12:13" x14ac:dyDescent="0.25">
      <c r="L2061" s="1"/>
      <c r="M2061" s="1"/>
    </row>
    <row r="2062" spans="12:13" x14ac:dyDescent="0.25">
      <c r="L2062" s="1"/>
      <c r="M2062" s="1"/>
    </row>
    <row r="2063" spans="12:13" x14ac:dyDescent="0.25">
      <c r="L2063" s="1"/>
      <c r="M2063" s="1"/>
    </row>
    <row r="2064" spans="12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2:13" x14ac:dyDescent="0.25">
      <c r="L2081" s="1"/>
      <c r="M2081" s="1"/>
    </row>
    <row r="2082" spans="12:13" x14ac:dyDescent="0.25">
      <c r="L2082" s="1"/>
      <c r="M2082" s="1"/>
    </row>
    <row r="2083" spans="12:13" x14ac:dyDescent="0.25">
      <c r="L2083" s="1"/>
      <c r="M2083" s="1"/>
    </row>
    <row r="2084" spans="12:13" x14ac:dyDescent="0.25">
      <c r="L2084" s="1"/>
      <c r="M2084" s="1"/>
    </row>
    <row r="2085" spans="12:13" x14ac:dyDescent="0.25">
      <c r="L2085" s="1"/>
      <c r="M2085" s="1"/>
    </row>
    <row r="2086" spans="12:13" x14ac:dyDescent="0.25">
      <c r="L2086" s="1"/>
      <c r="M2086" s="1"/>
    </row>
    <row r="2087" spans="12:13" x14ac:dyDescent="0.25">
      <c r="L2087" s="1"/>
      <c r="M2087" s="1"/>
    </row>
    <row r="2088" spans="12:13" x14ac:dyDescent="0.25">
      <c r="L2088" s="1"/>
      <c r="M2088" s="1"/>
    </row>
    <row r="2089" spans="12:13" x14ac:dyDescent="0.25">
      <c r="L2089" s="1"/>
      <c r="M2089" s="1"/>
    </row>
    <row r="2090" spans="12:13" x14ac:dyDescent="0.25">
      <c r="L2090" s="1"/>
      <c r="M2090" s="1"/>
    </row>
    <row r="2091" spans="12:13" x14ac:dyDescent="0.25">
      <c r="L2091" s="1"/>
      <c r="M2091" s="1"/>
    </row>
    <row r="2092" spans="12:13" x14ac:dyDescent="0.25">
      <c r="L2092" s="1"/>
      <c r="M2092" s="1"/>
    </row>
    <row r="2093" spans="12:13" x14ac:dyDescent="0.25">
      <c r="L2093" s="1"/>
      <c r="M2093" s="1"/>
    </row>
    <row r="2094" spans="12:13" x14ac:dyDescent="0.25">
      <c r="L2094" s="1"/>
      <c r="M2094" s="1"/>
    </row>
    <row r="2095" spans="12:13" x14ac:dyDescent="0.25">
      <c r="L2095" s="1"/>
      <c r="M2095" s="1"/>
    </row>
    <row r="2096" spans="12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2:13" x14ac:dyDescent="0.25">
      <c r="L2177" s="1"/>
      <c r="M2177" s="1"/>
    </row>
    <row r="2178" spans="12:13" x14ac:dyDescent="0.25">
      <c r="L2178" s="1"/>
      <c r="M2178" s="1"/>
    </row>
    <row r="2179" spans="12:13" x14ac:dyDescent="0.25">
      <c r="L2179" s="1"/>
      <c r="M2179" s="1"/>
    </row>
    <row r="2180" spans="12:13" x14ac:dyDescent="0.25">
      <c r="L2180" s="1"/>
      <c r="M2180" s="1"/>
    </row>
    <row r="2181" spans="12:13" x14ac:dyDescent="0.25">
      <c r="L2181" s="1"/>
      <c r="M2181" s="1"/>
    </row>
    <row r="2182" spans="12:13" x14ac:dyDescent="0.25">
      <c r="L2182" s="1"/>
      <c r="M2182" s="1"/>
    </row>
    <row r="2183" spans="12:13" x14ac:dyDescent="0.25">
      <c r="L2183" s="1"/>
      <c r="M2183" s="1"/>
    </row>
    <row r="2184" spans="12:13" x14ac:dyDescent="0.25">
      <c r="L2184" s="1"/>
      <c r="M2184" s="1"/>
    </row>
    <row r="2185" spans="12:13" x14ac:dyDescent="0.25">
      <c r="L2185" s="1"/>
      <c r="M2185" s="1"/>
    </row>
    <row r="2186" spans="12:13" x14ac:dyDescent="0.25">
      <c r="L2186" s="1"/>
      <c r="M2186" s="1"/>
    </row>
    <row r="2187" spans="12:13" x14ac:dyDescent="0.25">
      <c r="L2187" s="1"/>
      <c r="M2187" s="1"/>
    </row>
    <row r="2188" spans="12:13" x14ac:dyDescent="0.25">
      <c r="L2188" s="1"/>
      <c r="M2188" s="1"/>
    </row>
    <row r="2189" spans="12:13" x14ac:dyDescent="0.25">
      <c r="L2189" s="1"/>
      <c r="M2189" s="1"/>
    </row>
    <row r="2190" spans="12:13" x14ac:dyDescent="0.25">
      <c r="L2190" s="1"/>
      <c r="M2190" s="1"/>
    </row>
    <row r="2191" spans="12:13" x14ac:dyDescent="0.25">
      <c r="L2191" s="1"/>
      <c r="M2191" s="1"/>
    </row>
    <row r="2192" spans="12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2:13" x14ac:dyDescent="0.25">
      <c r="L2337" s="1"/>
      <c r="M2337" s="1"/>
    </row>
    <row r="2338" spans="12:13" x14ac:dyDescent="0.25">
      <c r="L2338" s="1"/>
      <c r="M2338" s="1"/>
    </row>
    <row r="2339" spans="12:13" x14ac:dyDescent="0.25">
      <c r="L2339" s="1"/>
      <c r="M2339" s="1"/>
    </row>
    <row r="2340" spans="12:13" x14ac:dyDescent="0.25">
      <c r="L2340" s="1"/>
      <c r="M2340" s="1"/>
    </row>
    <row r="2341" spans="12:13" x14ac:dyDescent="0.25">
      <c r="L2341" s="1"/>
      <c r="M2341" s="1"/>
    </row>
    <row r="2342" spans="12:13" x14ac:dyDescent="0.25">
      <c r="L2342" s="1"/>
      <c r="M2342" s="1"/>
    </row>
    <row r="2343" spans="12:13" x14ac:dyDescent="0.25">
      <c r="L2343" s="1"/>
      <c r="M2343" s="1"/>
    </row>
    <row r="2344" spans="12:13" x14ac:dyDescent="0.25">
      <c r="L2344" s="1"/>
      <c r="M2344" s="1"/>
    </row>
    <row r="2345" spans="12:13" x14ac:dyDescent="0.25">
      <c r="L2345" s="1"/>
      <c r="M2345" s="1"/>
    </row>
    <row r="2346" spans="12:13" x14ac:dyDescent="0.25">
      <c r="L2346" s="1"/>
      <c r="M2346" s="1"/>
    </row>
    <row r="2347" spans="12:13" x14ac:dyDescent="0.25">
      <c r="L2347" s="1"/>
      <c r="M2347" s="1"/>
    </row>
    <row r="2348" spans="12:13" x14ac:dyDescent="0.25">
      <c r="L2348" s="1"/>
      <c r="M2348" s="1"/>
    </row>
    <row r="2349" spans="12:13" x14ac:dyDescent="0.25">
      <c r="L2349" s="1"/>
      <c r="M2349" s="1"/>
    </row>
    <row r="2350" spans="12:13" x14ac:dyDescent="0.25">
      <c r="L2350" s="1"/>
      <c r="M2350" s="1"/>
    </row>
    <row r="2351" spans="12:13" x14ac:dyDescent="0.25">
      <c r="L2351" s="1"/>
      <c r="M2351" s="1"/>
    </row>
    <row r="2352" spans="12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2:13" x14ac:dyDescent="0.25">
      <c r="L2529" s="1"/>
      <c r="M2529" s="1"/>
    </row>
    <row r="2530" spans="12:13" x14ac:dyDescent="0.25">
      <c r="L2530" s="1"/>
      <c r="M2530" s="1"/>
    </row>
    <row r="2531" spans="12:13" x14ac:dyDescent="0.25">
      <c r="L2531" s="1"/>
      <c r="M2531" s="1"/>
    </row>
    <row r="2532" spans="12:13" x14ac:dyDescent="0.25">
      <c r="L2532" s="1"/>
      <c r="M2532" s="1"/>
    </row>
    <row r="2533" spans="12:13" x14ac:dyDescent="0.25">
      <c r="L2533" s="1"/>
      <c r="M2533" s="1"/>
    </row>
    <row r="2534" spans="12:13" x14ac:dyDescent="0.25">
      <c r="L2534" s="1"/>
      <c r="M2534" s="1"/>
    </row>
    <row r="2535" spans="12:13" x14ac:dyDescent="0.25">
      <c r="L2535" s="1"/>
      <c r="M2535" s="1"/>
    </row>
    <row r="2536" spans="12:13" x14ac:dyDescent="0.25">
      <c r="L2536" s="1"/>
      <c r="M2536" s="1"/>
    </row>
    <row r="2537" spans="12:13" x14ac:dyDescent="0.25">
      <c r="L2537" s="1"/>
      <c r="M2537" s="1"/>
    </row>
    <row r="2538" spans="12:13" x14ac:dyDescent="0.25">
      <c r="L2538" s="1"/>
      <c r="M2538" s="1"/>
    </row>
    <row r="2539" spans="12:13" x14ac:dyDescent="0.25">
      <c r="L2539" s="1"/>
      <c r="M2539" s="1"/>
    </row>
    <row r="2540" spans="12:13" x14ac:dyDescent="0.25">
      <c r="L2540" s="1"/>
      <c r="M2540" s="1"/>
    </row>
    <row r="2541" spans="12:13" x14ac:dyDescent="0.25">
      <c r="L2541" s="1"/>
      <c r="M2541" s="1"/>
    </row>
    <row r="2542" spans="12:13" x14ac:dyDescent="0.25">
      <c r="L2542" s="1"/>
      <c r="M2542" s="1"/>
    </row>
    <row r="2543" spans="12:13" x14ac:dyDescent="0.25">
      <c r="L2543" s="1"/>
      <c r="M2543" s="1"/>
    </row>
    <row r="2544" spans="12:13" x14ac:dyDescent="0.25">
      <c r="L2544" s="1"/>
      <c r="M2544" s="1"/>
    </row>
    <row r="2545" spans="12:13" x14ac:dyDescent="0.25">
      <c r="L2545" s="1"/>
      <c r="M2545" s="1"/>
    </row>
    <row r="2546" spans="12:13" x14ac:dyDescent="0.25">
      <c r="L2546" s="1"/>
      <c r="M2546" s="1"/>
    </row>
    <row r="2547" spans="12:13" x14ac:dyDescent="0.25">
      <c r="L2547" s="1"/>
      <c r="M2547" s="1"/>
    </row>
    <row r="2548" spans="12:13" x14ac:dyDescent="0.25">
      <c r="L2548" s="1"/>
      <c r="M2548" s="1"/>
    </row>
    <row r="2549" spans="12:13" x14ac:dyDescent="0.25">
      <c r="L2549" s="1"/>
      <c r="M2549" s="1"/>
    </row>
    <row r="2550" spans="12:13" x14ac:dyDescent="0.25">
      <c r="L2550" s="1"/>
      <c r="M2550" s="1"/>
    </row>
    <row r="2551" spans="12:13" x14ac:dyDescent="0.25">
      <c r="L2551" s="1"/>
      <c r="M2551" s="1"/>
    </row>
    <row r="2552" spans="12:13" x14ac:dyDescent="0.25">
      <c r="L2552" s="1"/>
      <c r="M2552" s="1"/>
    </row>
    <row r="2553" spans="12:13" x14ac:dyDescent="0.25">
      <c r="L2553" s="1"/>
      <c r="M2553" s="1"/>
    </row>
    <row r="2554" spans="12:13" x14ac:dyDescent="0.25">
      <c r="L2554" s="1"/>
      <c r="M2554" s="1"/>
    </row>
    <row r="2555" spans="12:13" x14ac:dyDescent="0.25">
      <c r="L2555" s="1"/>
      <c r="M2555" s="1"/>
    </row>
    <row r="2556" spans="12:13" x14ac:dyDescent="0.25">
      <c r="L2556" s="1"/>
      <c r="M2556" s="1"/>
    </row>
    <row r="2557" spans="12:13" x14ac:dyDescent="0.25">
      <c r="L2557" s="1"/>
      <c r="M2557" s="1"/>
    </row>
    <row r="2558" spans="12:13" x14ac:dyDescent="0.25">
      <c r="L2558" s="1"/>
      <c r="M2558" s="1"/>
    </row>
    <row r="2559" spans="12:13" x14ac:dyDescent="0.25">
      <c r="L2559" s="1"/>
      <c r="M2559" s="1"/>
    </row>
    <row r="2560" spans="12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2:13" x14ac:dyDescent="0.25">
      <c r="L2929" s="1"/>
      <c r="M2929" s="1"/>
    </row>
    <row r="2930" spans="12:13" x14ac:dyDescent="0.25">
      <c r="L2930" s="1"/>
      <c r="M2930" s="1"/>
    </row>
    <row r="2931" spans="12:13" x14ac:dyDescent="0.25">
      <c r="L2931" s="1"/>
      <c r="M2931" s="1"/>
    </row>
    <row r="2932" spans="12:13" x14ac:dyDescent="0.25">
      <c r="L2932" s="1"/>
      <c r="M2932" s="1"/>
    </row>
    <row r="2933" spans="12:13" x14ac:dyDescent="0.25">
      <c r="L2933" s="1"/>
      <c r="M2933" s="1"/>
    </row>
    <row r="2934" spans="12:13" x14ac:dyDescent="0.25">
      <c r="L2934" s="1"/>
      <c r="M2934" s="1"/>
    </row>
    <row r="2935" spans="12:13" x14ac:dyDescent="0.25">
      <c r="L2935" s="1"/>
      <c r="M2935" s="1"/>
    </row>
    <row r="2936" spans="12:13" x14ac:dyDescent="0.25">
      <c r="L2936" s="1"/>
      <c r="M2936" s="1"/>
    </row>
    <row r="2937" spans="12:13" x14ac:dyDescent="0.25">
      <c r="L2937" s="1"/>
      <c r="M2937" s="1"/>
    </row>
    <row r="2938" spans="12:13" x14ac:dyDescent="0.25">
      <c r="L2938" s="1"/>
      <c r="M2938" s="1"/>
    </row>
    <row r="2939" spans="12:13" x14ac:dyDescent="0.25">
      <c r="L2939" s="1"/>
      <c r="M2939" s="1"/>
    </row>
    <row r="2940" spans="12:13" x14ac:dyDescent="0.25">
      <c r="L2940" s="1"/>
      <c r="M2940" s="1"/>
    </row>
    <row r="2941" spans="12:13" x14ac:dyDescent="0.25">
      <c r="L2941" s="1"/>
      <c r="M2941" s="1"/>
    </row>
    <row r="2942" spans="12:13" x14ac:dyDescent="0.25">
      <c r="L2942" s="1"/>
      <c r="M2942" s="1"/>
    </row>
    <row r="2943" spans="12:13" x14ac:dyDescent="0.25">
      <c r="L2943" s="1"/>
      <c r="M2943" s="1"/>
    </row>
    <row r="2944" spans="12:13" x14ac:dyDescent="0.25">
      <c r="L2944" s="1"/>
      <c r="M2944" s="1"/>
    </row>
    <row r="2945" spans="12:13" x14ac:dyDescent="0.25">
      <c r="L2945" s="1"/>
      <c r="M2945" s="1"/>
    </row>
    <row r="2946" spans="12:13" x14ac:dyDescent="0.25">
      <c r="L2946" s="1"/>
      <c r="M2946" s="1"/>
    </row>
    <row r="2947" spans="12:13" x14ac:dyDescent="0.25">
      <c r="L2947" s="1"/>
      <c r="M2947" s="1"/>
    </row>
    <row r="2948" spans="12:13" x14ac:dyDescent="0.25">
      <c r="L2948" s="1"/>
      <c r="M2948" s="1"/>
    </row>
    <row r="2949" spans="12:13" x14ac:dyDescent="0.25">
      <c r="L2949" s="1"/>
      <c r="M2949" s="1"/>
    </row>
    <row r="2950" spans="12:13" x14ac:dyDescent="0.25">
      <c r="L2950" s="1"/>
      <c r="M2950" s="1"/>
    </row>
    <row r="2951" spans="12:13" x14ac:dyDescent="0.25">
      <c r="L2951" s="1"/>
      <c r="M2951" s="1"/>
    </row>
    <row r="2952" spans="12:13" x14ac:dyDescent="0.25">
      <c r="L2952" s="1"/>
      <c r="M2952" s="1"/>
    </row>
    <row r="2953" spans="12:13" x14ac:dyDescent="0.25">
      <c r="L2953" s="1"/>
      <c r="M2953" s="1"/>
    </row>
    <row r="2954" spans="12:13" x14ac:dyDescent="0.25">
      <c r="L2954" s="1"/>
      <c r="M2954" s="1"/>
    </row>
    <row r="2955" spans="12:13" x14ac:dyDescent="0.25">
      <c r="L2955" s="1"/>
      <c r="M2955" s="1"/>
    </row>
    <row r="2956" spans="12:13" x14ac:dyDescent="0.25">
      <c r="L2956" s="1"/>
      <c r="M2956" s="1"/>
    </row>
    <row r="2957" spans="12:13" x14ac:dyDescent="0.25">
      <c r="L2957" s="1"/>
      <c r="M2957" s="1"/>
    </row>
    <row r="2958" spans="12:13" x14ac:dyDescent="0.25">
      <c r="L2958" s="1"/>
      <c r="M2958" s="1"/>
    </row>
    <row r="2959" spans="12:13" x14ac:dyDescent="0.25">
      <c r="L2959" s="1"/>
      <c r="M2959" s="1"/>
    </row>
    <row r="2960" spans="12:13" x14ac:dyDescent="0.25">
      <c r="L2960" s="1"/>
      <c r="M2960" s="1"/>
    </row>
    <row r="2961" spans="12:13" x14ac:dyDescent="0.25">
      <c r="L2961" s="1"/>
      <c r="M2961" s="1"/>
    </row>
    <row r="2962" spans="12:13" x14ac:dyDescent="0.25">
      <c r="L2962" s="1"/>
      <c r="M2962" s="1"/>
    </row>
    <row r="2963" spans="12:13" x14ac:dyDescent="0.25">
      <c r="L2963" s="1"/>
      <c r="M2963" s="1"/>
    </row>
    <row r="2964" spans="12:13" x14ac:dyDescent="0.25">
      <c r="L2964" s="1"/>
      <c r="M2964" s="1"/>
    </row>
    <row r="2965" spans="12:13" x14ac:dyDescent="0.25">
      <c r="L2965" s="1"/>
      <c r="M2965" s="1"/>
    </row>
    <row r="2966" spans="12:13" x14ac:dyDescent="0.25">
      <c r="L2966" s="1"/>
      <c r="M2966" s="1"/>
    </row>
    <row r="2967" spans="12:13" x14ac:dyDescent="0.25">
      <c r="L2967" s="1"/>
      <c r="M2967" s="1"/>
    </row>
    <row r="2968" spans="12:13" x14ac:dyDescent="0.25">
      <c r="L2968" s="1"/>
      <c r="M2968" s="1"/>
    </row>
    <row r="2969" spans="12:13" x14ac:dyDescent="0.25">
      <c r="L2969" s="1"/>
      <c r="M2969" s="1"/>
    </row>
    <row r="2970" spans="12:13" x14ac:dyDescent="0.25">
      <c r="L2970" s="1"/>
      <c r="M2970" s="1"/>
    </row>
    <row r="2971" spans="12:13" x14ac:dyDescent="0.25">
      <c r="L2971" s="1"/>
      <c r="M2971" s="1"/>
    </row>
    <row r="2972" spans="12:13" x14ac:dyDescent="0.25">
      <c r="L2972" s="1"/>
      <c r="M2972" s="1"/>
    </row>
    <row r="2973" spans="12:13" x14ac:dyDescent="0.25">
      <c r="L2973" s="1"/>
      <c r="M2973" s="1"/>
    </row>
    <row r="2974" spans="12:13" x14ac:dyDescent="0.25">
      <c r="L2974" s="1"/>
      <c r="M2974" s="1"/>
    </row>
    <row r="2975" spans="12:13" x14ac:dyDescent="0.25">
      <c r="L2975" s="1"/>
      <c r="M2975" s="1"/>
    </row>
    <row r="2976" spans="12:13" x14ac:dyDescent="0.25">
      <c r="L2976" s="1"/>
      <c r="M2976" s="1"/>
    </row>
    <row r="2977" spans="12:13" x14ac:dyDescent="0.25">
      <c r="L2977" s="1"/>
      <c r="M2977" s="1"/>
    </row>
    <row r="2978" spans="12:13" x14ac:dyDescent="0.25">
      <c r="L2978" s="1"/>
      <c r="M2978" s="1"/>
    </row>
    <row r="2979" spans="12:13" x14ac:dyDescent="0.25">
      <c r="L2979" s="1"/>
      <c r="M2979" s="1"/>
    </row>
    <row r="2980" spans="12:13" x14ac:dyDescent="0.25">
      <c r="L2980" s="1"/>
      <c r="M2980" s="1"/>
    </row>
    <row r="2981" spans="12:13" x14ac:dyDescent="0.25">
      <c r="L2981" s="1"/>
      <c r="M2981" s="1"/>
    </row>
    <row r="2982" spans="12:13" x14ac:dyDescent="0.25">
      <c r="L2982" s="1"/>
      <c r="M2982" s="1"/>
    </row>
    <row r="2983" spans="12:13" x14ac:dyDescent="0.25">
      <c r="L2983" s="1"/>
      <c r="M2983" s="1"/>
    </row>
    <row r="2984" spans="12:13" x14ac:dyDescent="0.25">
      <c r="L2984" s="1"/>
      <c r="M2984" s="1"/>
    </row>
    <row r="2985" spans="12:13" x14ac:dyDescent="0.25">
      <c r="L2985" s="1"/>
      <c r="M2985" s="1"/>
    </row>
    <row r="2986" spans="12:13" x14ac:dyDescent="0.25">
      <c r="L2986" s="1"/>
      <c r="M2986" s="1"/>
    </row>
    <row r="2987" spans="12:13" x14ac:dyDescent="0.25">
      <c r="L2987" s="1"/>
      <c r="M2987" s="1"/>
    </row>
    <row r="2988" spans="12:13" x14ac:dyDescent="0.25">
      <c r="L2988" s="1"/>
      <c r="M2988" s="1"/>
    </row>
    <row r="2989" spans="12:13" x14ac:dyDescent="0.25">
      <c r="L2989" s="1"/>
      <c r="M2989" s="1"/>
    </row>
    <row r="2990" spans="12:13" x14ac:dyDescent="0.25">
      <c r="L2990" s="1"/>
      <c r="M2990" s="1"/>
    </row>
    <row r="2991" spans="12:13" x14ac:dyDescent="0.25">
      <c r="L2991" s="1"/>
      <c r="M2991" s="1"/>
    </row>
    <row r="2992" spans="12:13" x14ac:dyDescent="0.25">
      <c r="L2992" s="1"/>
      <c r="M2992" s="1"/>
    </row>
    <row r="2993" spans="12:13" x14ac:dyDescent="0.25">
      <c r="L2993" s="1"/>
      <c r="M2993" s="1"/>
    </row>
    <row r="2994" spans="12:13" x14ac:dyDescent="0.25">
      <c r="L2994" s="1"/>
      <c r="M2994" s="1"/>
    </row>
    <row r="2995" spans="12:13" x14ac:dyDescent="0.25">
      <c r="L2995" s="1"/>
      <c r="M2995" s="1"/>
    </row>
    <row r="2996" spans="12:13" x14ac:dyDescent="0.25">
      <c r="L2996" s="1"/>
      <c r="M2996" s="1"/>
    </row>
    <row r="2997" spans="12:13" x14ac:dyDescent="0.25">
      <c r="L2997" s="1"/>
      <c r="M2997" s="1"/>
    </row>
    <row r="2998" spans="12:13" x14ac:dyDescent="0.25">
      <c r="L2998" s="1"/>
      <c r="M2998" s="1"/>
    </row>
    <row r="2999" spans="12:13" x14ac:dyDescent="0.25">
      <c r="L2999" s="1"/>
      <c r="M2999" s="1"/>
    </row>
    <row r="3000" spans="12:13" x14ac:dyDescent="0.25">
      <c r="L3000" s="1"/>
      <c r="M3000" s="1"/>
    </row>
    <row r="3001" spans="12:13" x14ac:dyDescent="0.25">
      <c r="L3001" s="1"/>
      <c r="M3001" s="1"/>
    </row>
    <row r="3002" spans="12:13" x14ac:dyDescent="0.25">
      <c r="L3002" s="1"/>
      <c r="M3002" s="1"/>
    </row>
    <row r="3003" spans="12:13" x14ac:dyDescent="0.25">
      <c r="L3003" s="1"/>
      <c r="M3003" s="1"/>
    </row>
    <row r="3004" spans="12:13" x14ac:dyDescent="0.25">
      <c r="L3004" s="1"/>
      <c r="M3004" s="1"/>
    </row>
    <row r="3005" spans="12:13" x14ac:dyDescent="0.25">
      <c r="L3005" s="1"/>
      <c r="M3005" s="1"/>
    </row>
    <row r="3006" spans="12:13" x14ac:dyDescent="0.25">
      <c r="L3006" s="1"/>
      <c r="M3006" s="1"/>
    </row>
    <row r="3007" spans="12:13" x14ac:dyDescent="0.25">
      <c r="L3007" s="1"/>
      <c r="M3007" s="1"/>
    </row>
    <row r="3008" spans="12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2:13" x14ac:dyDescent="0.25">
      <c r="L3057" s="1"/>
      <c r="M3057" s="1"/>
    </row>
    <row r="3058" spans="12:13" x14ac:dyDescent="0.25">
      <c r="L3058" s="1"/>
      <c r="M3058" s="1"/>
    </row>
    <row r="3059" spans="12:13" x14ac:dyDescent="0.25">
      <c r="L3059" s="1"/>
      <c r="M3059" s="1"/>
    </row>
    <row r="3060" spans="12:13" x14ac:dyDescent="0.25">
      <c r="L3060" s="1"/>
      <c r="M3060" s="1"/>
    </row>
    <row r="3061" spans="12:13" x14ac:dyDescent="0.25">
      <c r="L3061" s="1"/>
      <c r="M3061" s="1"/>
    </row>
    <row r="3062" spans="12:13" x14ac:dyDescent="0.25">
      <c r="L3062" s="1"/>
      <c r="M3062" s="1"/>
    </row>
    <row r="3063" spans="12:13" x14ac:dyDescent="0.25">
      <c r="L3063" s="1"/>
      <c r="M3063" s="1"/>
    </row>
    <row r="3064" spans="12:13" x14ac:dyDescent="0.25">
      <c r="L3064" s="1"/>
      <c r="M3064" s="1"/>
    </row>
    <row r="3065" spans="12:13" x14ac:dyDescent="0.25">
      <c r="L3065" s="1"/>
      <c r="M3065" s="1"/>
    </row>
    <row r="3066" spans="12:13" x14ac:dyDescent="0.25">
      <c r="L3066" s="1"/>
      <c r="M3066" s="1"/>
    </row>
    <row r="3067" spans="12:13" x14ac:dyDescent="0.25">
      <c r="L3067" s="1"/>
      <c r="M3067" s="1"/>
    </row>
    <row r="3068" spans="12:13" x14ac:dyDescent="0.25">
      <c r="L3068" s="1"/>
      <c r="M3068" s="1"/>
    </row>
    <row r="3069" spans="12:13" x14ac:dyDescent="0.25">
      <c r="L3069" s="1"/>
      <c r="M3069" s="1"/>
    </row>
    <row r="3070" spans="12:13" x14ac:dyDescent="0.25">
      <c r="L3070" s="1"/>
      <c r="M3070" s="1"/>
    </row>
    <row r="3071" spans="12:13" x14ac:dyDescent="0.25">
      <c r="L3071" s="1"/>
      <c r="M3071" s="1"/>
    </row>
    <row r="3072" spans="12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2:13" x14ac:dyDescent="0.25">
      <c r="L3121" s="1"/>
      <c r="M3121" s="1"/>
    </row>
    <row r="3122" spans="12:13" x14ac:dyDescent="0.25">
      <c r="L3122" s="1"/>
      <c r="M3122" s="1"/>
    </row>
    <row r="3123" spans="12:13" x14ac:dyDescent="0.25">
      <c r="L3123" s="1"/>
      <c r="M3123" s="1"/>
    </row>
    <row r="3124" spans="12:13" x14ac:dyDescent="0.25">
      <c r="L3124" s="1"/>
      <c r="M3124" s="1"/>
    </row>
    <row r="3125" spans="12:13" x14ac:dyDescent="0.25">
      <c r="L3125" s="1"/>
      <c r="M3125" s="1"/>
    </row>
    <row r="3126" spans="12:13" x14ac:dyDescent="0.25">
      <c r="L3126" s="1"/>
      <c r="M3126" s="1"/>
    </row>
    <row r="3127" spans="12:13" x14ac:dyDescent="0.25">
      <c r="L3127" s="1"/>
      <c r="M3127" s="1"/>
    </row>
    <row r="3128" spans="12:13" x14ac:dyDescent="0.25">
      <c r="L3128" s="1"/>
      <c r="M3128" s="1"/>
    </row>
    <row r="3129" spans="12:13" x14ac:dyDescent="0.25">
      <c r="L3129" s="1"/>
      <c r="M3129" s="1"/>
    </row>
    <row r="3130" spans="12:13" x14ac:dyDescent="0.25">
      <c r="L3130" s="1"/>
      <c r="M3130" s="1"/>
    </row>
    <row r="3131" spans="12:13" x14ac:dyDescent="0.25">
      <c r="L3131" s="1"/>
      <c r="M3131" s="1"/>
    </row>
    <row r="3132" spans="12:13" x14ac:dyDescent="0.25">
      <c r="L3132" s="1"/>
      <c r="M3132" s="1"/>
    </row>
    <row r="3133" spans="12:13" x14ac:dyDescent="0.25">
      <c r="L3133" s="1"/>
      <c r="M3133" s="1"/>
    </row>
    <row r="3134" spans="12:13" x14ac:dyDescent="0.25">
      <c r="L3134" s="1"/>
      <c r="M3134" s="1"/>
    </row>
    <row r="3135" spans="12:13" x14ac:dyDescent="0.25">
      <c r="L3135" s="1"/>
      <c r="M3135" s="1"/>
    </row>
    <row r="3136" spans="12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2:13" x14ac:dyDescent="0.25">
      <c r="L3201" s="1"/>
      <c r="M3201" s="1"/>
    </row>
    <row r="3202" spans="12:13" x14ac:dyDescent="0.25">
      <c r="L3202" s="1"/>
      <c r="M3202" s="1"/>
    </row>
    <row r="3203" spans="12:13" x14ac:dyDescent="0.25">
      <c r="L3203" s="1"/>
      <c r="M3203" s="1"/>
    </row>
    <row r="3204" spans="12:13" x14ac:dyDescent="0.25">
      <c r="L3204" s="1"/>
      <c r="M3204" s="1"/>
    </row>
    <row r="3205" spans="12:13" x14ac:dyDescent="0.25">
      <c r="L3205" s="1"/>
      <c r="M3205" s="1"/>
    </row>
    <row r="3206" spans="12:13" x14ac:dyDescent="0.25">
      <c r="L3206" s="1"/>
      <c r="M3206" s="1"/>
    </row>
    <row r="3207" spans="12:13" x14ac:dyDescent="0.25">
      <c r="L3207" s="1"/>
      <c r="M3207" s="1"/>
    </row>
    <row r="3208" spans="12:13" x14ac:dyDescent="0.25">
      <c r="L3208" s="1"/>
      <c r="M3208" s="1"/>
    </row>
    <row r="3209" spans="12:13" x14ac:dyDescent="0.25">
      <c r="L3209" s="1"/>
      <c r="M3209" s="1"/>
    </row>
    <row r="3210" spans="12:13" x14ac:dyDescent="0.25">
      <c r="L3210" s="1"/>
      <c r="M3210" s="1"/>
    </row>
    <row r="3211" spans="12:13" x14ac:dyDescent="0.25">
      <c r="L3211" s="1"/>
      <c r="M3211" s="1"/>
    </row>
    <row r="3212" spans="12:13" x14ac:dyDescent="0.25">
      <c r="L3212" s="1"/>
      <c r="M3212" s="1"/>
    </row>
    <row r="3213" spans="12:13" x14ac:dyDescent="0.25">
      <c r="L3213" s="1"/>
      <c r="M3213" s="1"/>
    </row>
    <row r="3214" spans="12:13" x14ac:dyDescent="0.25">
      <c r="L3214" s="1"/>
      <c r="M3214" s="1"/>
    </row>
    <row r="3215" spans="12:13" x14ac:dyDescent="0.25">
      <c r="L3215" s="1"/>
      <c r="M3215" s="1"/>
    </row>
    <row r="3216" spans="12:13" x14ac:dyDescent="0.25">
      <c r="L3216" s="1"/>
      <c r="M3216" s="1"/>
    </row>
    <row r="3217" spans="12:13" x14ac:dyDescent="0.25">
      <c r="L3217" s="1"/>
      <c r="M3217" s="1"/>
    </row>
    <row r="3218" spans="12:13" x14ac:dyDescent="0.25">
      <c r="L3218" s="1"/>
      <c r="M3218" s="1"/>
    </row>
    <row r="3219" spans="12:13" x14ac:dyDescent="0.25">
      <c r="L3219" s="1"/>
      <c r="M3219" s="1"/>
    </row>
    <row r="3220" spans="12:13" x14ac:dyDescent="0.25">
      <c r="L3220" s="1"/>
      <c r="M3220" s="1"/>
    </row>
    <row r="3221" spans="12:13" x14ac:dyDescent="0.25">
      <c r="L3221" s="1"/>
      <c r="M3221" s="1"/>
    </row>
    <row r="3222" spans="12:13" x14ac:dyDescent="0.25">
      <c r="L3222" s="1"/>
      <c r="M3222" s="1"/>
    </row>
    <row r="3223" spans="12:13" x14ac:dyDescent="0.25">
      <c r="L3223" s="1"/>
      <c r="M3223" s="1"/>
    </row>
    <row r="3224" spans="12:13" x14ac:dyDescent="0.25">
      <c r="L3224" s="1"/>
      <c r="M3224" s="1"/>
    </row>
    <row r="3225" spans="12:13" x14ac:dyDescent="0.25">
      <c r="L3225" s="1"/>
      <c r="M3225" s="1"/>
    </row>
    <row r="3226" spans="12:13" x14ac:dyDescent="0.25">
      <c r="L3226" s="1"/>
      <c r="M3226" s="1"/>
    </row>
    <row r="3227" spans="12:13" x14ac:dyDescent="0.25">
      <c r="L3227" s="1"/>
      <c r="M3227" s="1"/>
    </row>
    <row r="3228" spans="12:13" x14ac:dyDescent="0.25">
      <c r="L3228" s="1"/>
      <c r="M3228" s="1"/>
    </row>
    <row r="3229" spans="12:13" x14ac:dyDescent="0.25">
      <c r="L3229" s="1"/>
      <c r="M3229" s="1"/>
    </row>
    <row r="3230" spans="12:13" x14ac:dyDescent="0.25">
      <c r="L3230" s="1"/>
      <c r="M3230" s="1"/>
    </row>
    <row r="3231" spans="12:13" x14ac:dyDescent="0.25">
      <c r="L3231" s="1"/>
      <c r="M3231" s="1"/>
    </row>
    <row r="3232" spans="12:13" x14ac:dyDescent="0.25">
      <c r="L3232" s="1"/>
      <c r="M3232" s="1"/>
    </row>
    <row r="3233" spans="12:13" x14ac:dyDescent="0.25">
      <c r="L3233" s="1"/>
      <c r="M3233" s="1"/>
    </row>
    <row r="3234" spans="12:13" x14ac:dyDescent="0.25">
      <c r="L3234" s="1"/>
      <c r="M3234" s="1"/>
    </row>
    <row r="3235" spans="12:13" x14ac:dyDescent="0.25">
      <c r="L3235" s="1"/>
      <c r="M3235" s="1"/>
    </row>
    <row r="3236" spans="12:13" x14ac:dyDescent="0.25">
      <c r="L3236" s="1"/>
      <c r="M3236" s="1"/>
    </row>
    <row r="3237" spans="12:13" x14ac:dyDescent="0.25">
      <c r="L3237" s="1"/>
      <c r="M3237" s="1"/>
    </row>
    <row r="3238" spans="12:13" x14ac:dyDescent="0.25">
      <c r="L3238" s="1"/>
      <c r="M3238" s="1"/>
    </row>
    <row r="3239" spans="12:13" x14ac:dyDescent="0.25">
      <c r="L3239" s="1"/>
      <c r="M3239" s="1"/>
    </row>
    <row r="3240" spans="12:13" x14ac:dyDescent="0.25">
      <c r="L3240" s="1"/>
      <c r="M3240" s="1"/>
    </row>
    <row r="3241" spans="12:13" x14ac:dyDescent="0.25">
      <c r="L3241" s="1"/>
      <c r="M3241" s="1"/>
    </row>
    <row r="3242" spans="12:13" x14ac:dyDescent="0.25">
      <c r="L3242" s="1"/>
      <c r="M3242" s="1"/>
    </row>
    <row r="3243" spans="12:13" x14ac:dyDescent="0.25">
      <c r="L3243" s="1"/>
      <c r="M3243" s="1"/>
    </row>
    <row r="3244" spans="12:13" x14ac:dyDescent="0.25">
      <c r="L3244" s="1"/>
      <c r="M3244" s="1"/>
    </row>
    <row r="3245" spans="12:13" x14ac:dyDescent="0.25">
      <c r="L3245" s="1"/>
      <c r="M3245" s="1"/>
    </row>
    <row r="3246" spans="12:13" x14ac:dyDescent="0.25">
      <c r="L3246" s="1"/>
      <c r="M3246" s="1"/>
    </row>
    <row r="3247" spans="12:13" x14ac:dyDescent="0.25">
      <c r="L3247" s="1"/>
      <c r="M3247" s="1"/>
    </row>
    <row r="3248" spans="12:13" x14ac:dyDescent="0.25">
      <c r="L3248" s="1"/>
      <c r="M3248" s="1"/>
    </row>
    <row r="3249" spans="12:13" x14ac:dyDescent="0.25">
      <c r="L3249" s="1"/>
      <c r="M3249" s="1"/>
    </row>
    <row r="3250" spans="12:13" x14ac:dyDescent="0.25">
      <c r="L3250" s="1"/>
      <c r="M3250" s="1"/>
    </row>
    <row r="3251" spans="12:13" x14ac:dyDescent="0.25">
      <c r="L3251" s="1"/>
      <c r="M3251" s="1"/>
    </row>
    <row r="3252" spans="12:13" x14ac:dyDescent="0.25">
      <c r="L3252" s="1"/>
      <c r="M3252" s="1"/>
    </row>
    <row r="3253" spans="12:13" x14ac:dyDescent="0.25">
      <c r="L3253" s="1"/>
      <c r="M3253" s="1"/>
    </row>
    <row r="3254" spans="12:13" x14ac:dyDescent="0.25">
      <c r="L3254" s="1"/>
      <c r="M3254" s="1"/>
    </row>
    <row r="3255" spans="12:13" x14ac:dyDescent="0.25">
      <c r="L3255" s="1"/>
      <c r="M3255" s="1"/>
    </row>
    <row r="3256" spans="12:13" x14ac:dyDescent="0.25">
      <c r="L3256" s="1"/>
      <c r="M3256" s="1"/>
    </row>
    <row r="3257" spans="12:13" x14ac:dyDescent="0.25">
      <c r="L3257" s="1"/>
      <c r="M3257" s="1"/>
    </row>
    <row r="3258" spans="12:13" x14ac:dyDescent="0.25">
      <c r="L3258" s="1"/>
      <c r="M3258" s="1"/>
    </row>
    <row r="3259" spans="12:13" x14ac:dyDescent="0.25">
      <c r="L3259" s="1"/>
      <c r="M3259" s="1"/>
    </row>
    <row r="3260" spans="12:13" x14ac:dyDescent="0.25">
      <c r="L3260" s="1"/>
      <c r="M3260" s="1"/>
    </row>
    <row r="3261" spans="12:13" x14ac:dyDescent="0.25">
      <c r="L3261" s="1"/>
      <c r="M3261" s="1"/>
    </row>
    <row r="3262" spans="12:13" x14ac:dyDescent="0.25">
      <c r="L3262" s="1"/>
      <c r="M3262" s="1"/>
    </row>
    <row r="3263" spans="12:13" x14ac:dyDescent="0.25">
      <c r="L3263" s="1"/>
      <c r="M3263" s="1"/>
    </row>
    <row r="3264" spans="12:13" x14ac:dyDescent="0.25">
      <c r="L3264" s="1"/>
      <c r="M3264" s="1"/>
    </row>
    <row r="3265" spans="12:13" x14ac:dyDescent="0.25">
      <c r="L3265" s="1"/>
      <c r="M3265" s="1"/>
    </row>
    <row r="3266" spans="12:13" x14ac:dyDescent="0.25">
      <c r="L3266" s="1"/>
      <c r="M3266" s="1"/>
    </row>
    <row r="3267" spans="12:13" x14ac:dyDescent="0.25">
      <c r="L3267" s="1"/>
      <c r="M3267" s="1"/>
    </row>
    <row r="3268" spans="12:13" x14ac:dyDescent="0.25">
      <c r="L3268" s="1"/>
      <c r="M3268" s="1"/>
    </row>
    <row r="3269" spans="12:13" x14ac:dyDescent="0.25">
      <c r="L3269" s="1"/>
      <c r="M3269" s="1"/>
    </row>
    <row r="3270" spans="12:13" x14ac:dyDescent="0.25">
      <c r="L3270" s="1"/>
      <c r="M3270" s="1"/>
    </row>
    <row r="3271" spans="12:13" x14ac:dyDescent="0.25">
      <c r="L3271" s="1"/>
      <c r="M3271" s="1"/>
    </row>
    <row r="3272" spans="12:13" x14ac:dyDescent="0.25">
      <c r="L3272" s="1"/>
      <c r="M3272" s="1"/>
    </row>
    <row r="3273" spans="12:13" x14ac:dyDescent="0.25">
      <c r="L3273" s="1"/>
      <c r="M3273" s="1"/>
    </row>
    <row r="3274" spans="12:13" x14ac:dyDescent="0.25">
      <c r="L3274" s="1"/>
      <c r="M3274" s="1"/>
    </row>
    <row r="3275" spans="12:13" x14ac:dyDescent="0.25">
      <c r="L3275" s="1"/>
      <c r="M3275" s="1"/>
    </row>
    <row r="3276" spans="12:13" x14ac:dyDescent="0.25">
      <c r="L3276" s="1"/>
      <c r="M3276" s="1"/>
    </row>
    <row r="3277" spans="12:13" x14ac:dyDescent="0.25">
      <c r="L3277" s="1"/>
      <c r="M3277" s="1"/>
    </row>
    <row r="3278" spans="12:13" x14ac:dyDescent="0.25">
      <c r="L3278" s="1"/>
      <c r="M3278" s="1"/>
    </row>
    <row r="3279" spans="12:13" x14ac:dyDescent="0.25">
      <c r="L3279" s="1"/>
      <c r="M3279" s="1"/>
    </row>
    <row r="3280" spans="12:13" x14ac:dyDescent="0.25">
      <c r="L3280" s="1"/>
      <c r="M3280" s="1"/>
    </row>
    <row r="3281" spans="12:13" x14ac:dyDescent="0.25">
      <c r="L3281" s="1"/>
      <c r="M3281" s="1"/>
    </row>
    <row r="3282" spans="12:13" x14ac:dyDescent="0.25">
      <c r="L3282" s="1"/>
      <c r="M3282" s="1"/>
    </row>
    <row r="3283" spans="12:13" x14ac:dyDescent="0.25">
      <c r="L3283" s="1"/>
      <c r="M3283" s="1"/>
    </row>
    <row r="3284" spans="12:13" x14ac:dyDescent="0.25">
      <c r="L3284" s="1"/>
      <c r="M3284" s="1"/>
    </row>
    <row r="3285" spans="12:13" x14ac:dyDescent="0.25">
      <c r="L3285" s="1"/>
      <c r="M3285" s="1"/>
    </row>
    <row r="3286" spans="12:13" x14ac:dyDescent="0.25">
      <c r="L3286" s="1"/>
      <c r="M3286" s="1"/>
    </row>
    <row r="3287" spans="12:13" x14ac:dyDescent="0.25">
      <c r="L3287" s="1"/>
      <c r="M3287" s="1"/>
    </row>
    <row r="3288" spans="12:13" x14ac:dyDescent="0.25">
      <c r="L3288" s="1"/>
      <c r="M3288" s="1"/>
    </row>
    <row r="3289" spans="12:13" x14ac:dyDescent="0.25">
      <c r="L3289" s="1"/>
      <c r="M3289" s="1"/>
    </row>
    <row r="3290" spans="12:13" x14ac:dyDescent="0.25">
      <c r="L3290" s="1"/>
      <c r="M3290" s="1"/>
    </row>
    <row r="3291" spans="12:13" x14ac:dyDescent="0.25">
      <c r="L3291" s="1"/>
      <c r="M3291" s="1"/>
    </row>
    <row r="3292" spans="12:13" x14ac:dyDescent="0.25">
      <c r="L3292" s="1"/>
      <c r="M3292" s="1"/>
    </row>
    <row r="3293" spans="12:13" x14ac:dyDescent="0.25">
      <c r="L3293" s="1"/>
      <c r="M3293" s="1"/>
    </row>
    <row r="3294" spans="12:13" x14ac:dyDescent="0.25">
      <c r="L3294" s="1"/>
      <c r="M3294" s="1"/>
    </row>
    <row r="3295" spans="12:13" x14ac:dyDescent="0.25">
      <c r="L3295" s="1"/>
      <c r="M3295" s="1"/>
    </row>
    <row r="3296" spans="12:13" x14ac:dyDescent="0.25">
      <c r="L3296" s="1"/>
      <c r="M3296" s="1"/>
    </row>
    <row r="3297" spans="12:13" x14ac:dyDescent="0.25">
      <c r="L3297" s="1"/>
      <c r="M3297" s="1"/>
    </row>
    <row r="3298" spans="12:13" x14ac:dyDescent="0.25">
      <c r="L3298" s="1"/>
      <c r="M3298" s="1"/>
    </row>
    <row r="3299" spans="12:13" x14ac:dyDescent="0.25">
      <c r="L3299" s="1"/>
      <c r="M3299" s="1"/>
    </row>
    <row r="3300" spans="12:13" x14ac:dyDescent="0.25">
      <c r="L3300" s="1"/>
      <c r="M3300" s="1"/>
    </row>
    <row r="3301" spans="12:13" x14ac:dyDescent="0.25">
      <c r="L3301" s="1"/>
      <c r="M3301" s="1"/>
    </row>
    <row r="3302" spans="12:13" x14ac:dyDescent="0.25">
      <c r="L3302" s="1"/>
      <c r="M3302" s="1"/>
    </row>
    <row r="3303" spans="12:13" x14ac:dyDescent="0.25">
      <c r="L3303" s="1"/>
      <c r="M3303" s="1"/>
    </row>
    <row r="3304" spans="12:13" x14ac:dyDescent="0.25">
      <c r="L3304" s="1"/>
      <c r="M3304" s="1"/>
    </row>
    <row r="3305" spans="12:13" x14ac:dyDescent="0.25">
      <c r="L3305" s="1"/>
      <c r="M3305" s="1"/>
    </row>
    <row r="3306" spans="12:13" x14ac:dyDescent="0.25">
      <c r="L3306" s="1"/>
      <c r="M3306" s="1"/>
    </row>
    <row r="3307" spans="12:13" x14ac:dyDescent="0.25">
      <c r="L3307" s="1"/>
      <c r="M3307" s="1"/>
    </row>
    <row r="3308" spans="12:13" x14ac:dyDescent="0.25">
      <c r="L3308" s="1"/>
      <c r="M3308" s="1"/>
    </row>
    <row r="3309" spans="12:13" x14ac:dyDescent="0.25">
      <c r="L3309" s="1"/>
      <c r="M3309" s="1"/>
    </row>
    <row r="3310" spans="12:13" x14ac:dyDescent="0.25">
      <c r="L3310" s="1"/>
      <c r="M3310" s="1"/>
    </row>
    <row r="3311" spans="12:13" x14ac:dyDescent="0.25">
      <c r="L3311" s="1"/>
      <c r="M3311" s="1"/>
    </row>
    <row r="3312" spans="12:13" x14ac:dyDescent="0.25">
      <c r="L3312" s="1"/>
      <c r="M3312" s="1"/>
    </row>
    <row r="3313" spans="12:13" x14ac:dyDescent="0.25">
      <c r="L3313" s="1"/>
      <c r="M3313" s="1"/>
    </row>
    <row r="3314" spans="12:13" x14ac:dyDescent="0.25">
      <c r="L3314" s="1"/>
      <c r="M3314" s="1"/>
    </row>
    <row r="3315" spans="12:13" x14ac:dyDescent="0.25">
      <c r="L3315" s="1"/>
      <c r="M3315" s="1"/>
    </row>
    <row r="3316" spans="12:13" x14ac:dyDescent="0.25">
      <c r="L3316" s="1"/>
      <c r="M3316" s="1"/>
    </row>
    <row r="3317" spans="12:13" x14ac:dyDescent="0.25">
      <c r="L3317" s="1"/>
      <c r="M3317" s="1"/>
    </row>
    <row r="3318" spans="12:13" x14ac:dyDescent="0.25">
      <c r="L3318" s="1"/>
      <c r="M3318" s="1"/>
    </row>
    <row r="3319" spans="12:13" x14ac:dyDescent="0.25">
      <c r="L3319" s="1"/>
      <c r="M3319" s="1"/>
    </row>
    <row r="3320" spans="12:13" x14ac:dyDescent="0.25">
      <c r="L3320" s="1"/>
      <c r="M3320" s="1"/>
    </row>
    <row r="3321" spans="12:13" x14ac:dyDescent="0.25">
      <c r="L3321" s="1"/>
      <c r="M3321" s="1"/>
    </row>
    <row r="3322" spans="12:13" x14ac:dyDescent="0.25">
      <c r="L3322" s="1"/>
      <c r="M3322" s="1"/>
    </row>
    <row r="3323" spans="12:13" x14ac:dyDescent="0.25">
      <c r="L3323" s="1"/>
      <c r="M3323" s="1"/>
    </row>
    <row r="3324" spans="12:13" x14ac:dyDescent="0.25">
      <c r="L3324" s="1"/>
      <c r="M3324" s="1"/>
    </row>
    <row r="3325" spans="12:13" x14ac:dyDescent="0.25">
      <c r="L3325" s="1"/>
      <c r="M3325" s="1"/>
    </row>
    <row r="3326" spans="12:13" x14ac:dyDescent="0.25">
      <c r="L3326" s="1"/>
      <c r="M3326" s="1"/>
    </row>
    <row r="3327" spans="12:13" x14ac:dyDescent="0.25">
      <c r="L3327" s="1"/>
      <c r="M3327" s="1"/>
    </row>
    <row r="3328" spans="12:13" x14ac:dyDescent="0.25">
      <c r="L3328" s="1"/>
      <c r="M3328" s="1"/>
    </row>
    <row r="3329" spans="12:13" x14ac:dyDescent="0.25">
      <c r="L3329" s="1"/>
      <c r="M3329" s="1"/>
    </row>
    <row r="3330" spans="12:13" x14ac:dyDescent="0.25">
      <c r="L3330" s="1"/>
      <c r="M3330" s="1"/>
    </row>
    <row r="3331" spans="12:13" x14ac:dyDescent="0.25">
      <c r="L3331" s="1"/>
      <c r="M3331" s="1"/>
    </row>
    <row r="3332" spans="12:13" x14ac:dyDescent="0.25">
      <c r="L3332" s="1"/>
      <c r="M3332" s="1"/>
    </row>
    <row r="3333" spans="12:13" x14ac:dyDescent="0.25">
      <c r="L3333" s="1"/>
      <c r="M3333" s="1"/>
    </row>
    <row r="3334" spans="12:13" x14ac:dyDescent="0.25">
      <c r="L3334" s="1"/>
      <c r="M3334" s="1"/>
    </row>
    <row r="3335" spans="12:13" x14ac:dyDescent="0.25">
      <c r="L3335" s="1"/>
      <c r="M3335" s="1"/>
    </row>
    <row r="3336" spans="12:13" x14ac:dyDescent="0.25">
      <c r="L3336" s="1"/>
      <c r="M3336" s="1"/>
    </row>
    <row r="3337" spans="12:13" x14ac:dyDescent="0.25">
      <c r="L3337" s="1"/>
      <c r="M3337" s="1"/>
    </row>
    <row r="3338" spans="12:13" x14ac:dyDescent="0.25">
      <c r="L3338" s="1"/>
      <c r="M3338" s="1"/>
    </row>
    <row r="3339" spans="12:13" x14ac:dyDescent="0.25">
      <c r="L3339" s="1"/>
      <c r="M3339" s="1"/>
    </row>
    <row r="3340" spans="12:13" x14ac:dyDescent="0.25">
      <c r="L3340" s="1"/>
      <c r="M3340" s="1"/>
    </row>
    <row r="3341" spans="12:13" x14ac:dyDescent="0.25">
      <c r="L3341" s="1"/>
      <c r="M3341" s="1"/>
    </row>
    <row r="3342" spans="12:13" x14ac:dyDescent="0.25">
      <c r="L3342" s="1"/>
      <c r="M3342" s="1"/>
    </row>
    <row r="3343" spans="12:13" x14ac:dyDescent="0.25">
      <c r="L3343" s="1"/>
      <c r="M3343" s="1"/>
    </row>
    <row r="3344" spans="12:13" x14ac:dyDescent="0.25">
      <c r="L3344" s="1"/>
      <c r="M3344" s="1"/>
    </row>
    <row r="3345" spans="12:13" x14ac:dyDescent="0.25">
      <c r="L3345" s="1"/>
      <c r="M3345" s="1"/>
    </row>
    <row r="3346" spans="12:13" x14ac:dyDescent="0.25">
      <c r="L3346" s="1"/>
      <c r="M3346" s="1"/>
    </row>
    <row r="3347" spans="12:13" x14ac:dyDescent="0.25">
      <c r="L3347" s="1"/>
      <c r="M3347" s="1"/>
    </row>
    <row r="3348" spans="12:13" x14ac:dyDescent="0.25">
      <c r="L3348" s="1"/>
      <c r="M3348" s="1"/>
    </row>
    <row r="3349" spans="12:13" x14ac:dyDescent="0.25">
      <c r="L3349" s="1"/>
      <c r="M3349" s="1"/>
    </row>
    <row r="3350" spans="12:13" x14ac:dyDescent="0.25">
      <c r="L3350" s="1"/>
      <c r="M3350" s="1"/>
    </row>
    <row r="3351" spans="12:13" x14ac:dyDescent="0.25">
      <c r="L3351" s="1"/>
      <c r="M3351" s="1"/>
    </row>
    <row r="3352" spans="12:13" x14ac:dyDescent="0.25">
      <c r="L3352" s="1"/>
      <c r="M3352" s="1"/>
    </row>
    <row r="3353" spans="12:13" x14ac:dyDescent="0.25">
      <c r="L3353" s="1"/>
      <c r="M3353" s="1"/>
    </row>
    <row r="3354" spans="12:13" x14ac:dyDescent="0.25">
      <c r="L3354" s="1"/>
      <c r="M3354" s="1"/>
    </row>
    <row r="3355" spans="12:13" x14ac:dyDescent="0.25">
      <c r="L3355" s="1"/>
      <c r="M3355" s="1"/>
    </row>
    <row r="3356" spans="12:13" x14ac:dyDescent="0.25">
      <c r="L3356" s="1"/>
      <c r="M3356" s="1"/>
    </row>
    <row r="3357" spans="12:13" x14ac:dyDescent="0.25">
      <c r="L3357" s="1"/>
      <c r="M3357" s="1"/>
    </row>
    <row r="3358" spans="12:13" x14ac:dyDescent="0.25">
      <c r="L3358" s="1"/>
      <c r="M3358" s="1"/>
    </row>
    <row r="3359" spans="12:13" x14ac:dyDescent="0.25">
      <c r="L3359" s="1"/>
      <c r="M3359" s="1"/>
    </row>
    <row r="3360" spans="12:13" x14ac:dyDescent="0.25">
      <c r="L3360" s="1"/>
      <c r="M3360" s="1"/>
    </row>
    <row r="3361" spans="12:13" x14ac:dyDescent="0.25">
      <c r="L3361" s="1"/>
      <c r="M3361" s="1"/>
    </row>
    <row r="3362" spans="12:13" x14ac:dyDescent="0.25">
      <c r="L3362" s="1"/>
      <c r="M3362" s="1"/>
    </row>
    <row r="3363" spans="12:13" x14ac:dyDescent="0.25">
      <c r="L3363" s="1"/>
      <c r="M3363" s="1"/>
    </row>
    <row r="3364" spans="12:13" x14ac:dyDescent="0.25">
      <c r="L3364" s="1"/>
      <c r="M3364" s="1"/>
    </row>
    <row r="3365" spans="12:13" x14ac:dyDescent="0.25">
      <c r="L3365" s="1"/>
      <c r="M3365" s="1"/>
    </row>
    <row r="3366" spans="12:13" x14ac:dyDescent="0.25">
      <c r="L3366" s="1"/>
      <c r="M3366" s="1"/>
    </row>
    <row r="3367" spans="12:13" x14ac:dyDescent="0.25">
      <c r="L3367" s="1"/>
      <c r="M3367" s="1"/>
    </row>
    <row r="3368" spans="12:13" x14ac:dyDescent="0.25">
      <c r="L3368" s="1"/>
      <c r="M3368" s="1"/>
    </row>
    <row r="3369" spans="12:13" x14ac:dyDescent="0.25">
      <c r="L3369" s="1"/>
      <c r="M3369" s="1"/>
    </row>
    <row r="3370" spans="12:13" x14ac:dyDescent="0.25">
      <c r="L3370" s="1"/>
      <c r="M3370" s="1"/>
    </row>
    <row r="3371" spans="12:13" x14ac:dyDescent="0.25">
      <c r="L3371" s="1"/>
      <c r="M3371" s="1"/>
    </row>
    <row r="3372" spans="12:13" x14ac:dyDescent="0.25">
      <c r="L3372" s="1"/>
      <c r="M3372" s="1"/>
    </row>
    <row r="3373" spans="12:13" x14ac:dyDescent="0.25">
      <c r="L3373" s="1"/>
      <c r="M3373" s="1"/>
    </row>
    <row r="3374" spans="12:13" x14ac:dyDescent="0.25">
      <c r="L3374" s="1"/>
      <c r="M3374" s="1"/>
    </row>
    <row r="3375" spans="12:13" x14ac:dyDescent="0.25">
      <c r="L3375" s="1"/>
      <c r="M3375" s="1"/>
    </row>
    <row r="3376" spans="12:13" x14ac:dyDescent="0.25">
      <c r="L3376" s="1"/>
      <c r="M3376" s="1"/>
    </row>
    <row r="3377" spans="12:13" x14ac:dyDescent="0.25">
      <c r="L3377" s="1"/>
      <c r="M3377" s="1"/>
    </row>
    <row r="3378" spans="12:13" x14ac:dyDescent="0.25">
      <c r="L3378" s="1"/>
      <c r="M3378" s="1"/>
    </row>
    <row r="3379" spans="12:13" x14ac:dyDescent="0.25">
      <c r="L3379" s="1"/>
      <c r="M3379" s="1"/>
    </row>
    <row r="3380" spans="12:13" x14ac:dyDescent="0.25">
      <c r="L3380" s="1"/>
      <c r="M3380" s="1"/>
    </row>
    <row r="3381" spans="12:13" x14ac:dyDescent="0.25">
      <c r="L3381" s="1"/>
      <c r="M3381" s="1"/>
    </row>
    <row r="3382" spans="12:13" x14ac:dyDescent="0.25">
      <c r="L3382" s="1"/>
      <c r="M3382" s="1"/>
    </row>
    <row r="3383" spans="12:13" x14ac:dyDescent="0.25">
      <c r="L3383" s="1"/>
      <c r="M3383" s="1"/>
    </row>
    <row r="3384" spans="12:13" x14ac:dyDescent="0.25">
      <c r="L3384" s="1"/>
      <c r="M3384" s="1"/>
    </row>
    <row r="3385" spans="12:13" x14ac:dyDescent="0.25">
      <c r="L3385" s="1"/>
      <c r="M3385" s="1"/>
    </row>
    <row r="3386" spans="12:13" x14ac:dyDescent="0.25">
      <c r="L3386" s="1"/>
      <c r="M3386" s="1"/>
    </row>
    <row r="3387" spans="12:13" x14ac:dyDescent="0.25">
      <c r="L3387" s="1"/>
      <c r="M3387" s="1"/>
    </row>
    <row r="3388" spans="12:13" x14ac:dyDescent="0.25">
      <c r="L3388" s="1"/>
      <c r="M3388" s="1"/>
    </row>
    <row r="3389" spans="12:13" x14ac:dyDescent="0.25">
      <c r="L3389" s="1"/>
      <c r="M3389" s="1"/>
    </row>
    <row r="3390" spans="12:13" x14ac:dyDescent="0.25">
      <c r="L3390" s="1"/>
      <c r="M3390" s="1"/>
    </row>
    <row r="3391" spans="12:13" x14ac:dyDescent="0.25">
      <c r="L3391" s="1"/>
      <c r="M3391" s="1"/>
    </row>
    <row r="3392" spans="12:13" x14ac:dyDescent="0.25">
      <c r="L3392" s="1"/>
      <c r="M3392" s="1"/>
    </row>
    <row r="3393" spans="12:13" x14ac:dyDescent="0.25">
      <c r="L3393" s="1"/>
      <c r="M3393" s="1"/>
    </row>
    <row r="3394" spans="12:13" x14ac:dyDescent="0.25">
      <c r="L3394" s="1"/>
      <c r="M3394" s="1"/>
    </row>
    <row r="3395" spans="12:13" x14ac:dyDescent="0.25">
      <c r="L3395" s="1"/>
      <c r="M3395" s="1"/>
    </row>
    <row r="3396" spans="12:13" x14ac:dyDescent="0.25">
      <c r="L3396" s="1"/>
      <c r="M3396" s="1"/>
    </row>
    <row r="3397" spans="12:13" x14ac:dyDescent="0.25">
      <c r="L3397" s="1"/>
      <c r="M3397" s="1"/>
    </row>
    <row r="3398" spans="12:13" x14ac:dyDescent="0.25">
      <c r="L3398" s="1"/>
      <c r="M3398" s="1"/>
    </row>
    <row r="3399" spans="12:13" x14ac:dyDescent="0.25">
      <c r="L3399" s="1"/>
      <c r="M3399" s="1"/>
    </row>
    <row r="3400" spans="12:13" x14ac:dyDescent="0.25">
      <c r="L3400" s="1"/>
      <c r="M3400" s="1"/>
    </row>
    <row r="3401" spans="12:13" x14ac:dyDescent="0.25">
      <c r="L3401" s="1"/>
      <c r="M3401" s="1"/>
    </row>
    <row r="3402" spans="12:13" x14ac:dyDescent="0.25">
      <c r="L3402" s="1"/>
      <c r="M3402" s="1"/>
    </row>
    <row r="3403" spans="12:13" x14ac:dyDescent="0.25">
      <c r="L3403" s="1"/>
      <c r="M3403" s="1"/>
    </row>
    <row r="3404" spans="12:13" x14ac:dyDescent="0.25">
      <c r="L3404" s="1"/>
      <c r="M3404" s="1"/>
    </row>
    <row r="3405" spans="12:13" x14ac:dyDescent="0.25">
      <c r="L3405" s="1"/>
      <c r="M3405" s="1"/>
    </row>
    <row r="3406" spans="12:13" x14ac:dyDescent="0.25">
      <c r="L3406" s="1"/>
      <c r="M3406" s="1"/>
    </row>
    <row r="3407" spans="12:13" x14ac:dyDescent="0.25">
      <c r="L3407" s="1"/>
      <c r="M3407" s="1"/>
    </row>
    <row r="3408" spans="12:13" x14ac:dyDescent="0.25">
      <c r="L3408" s="1"/>
      <c r="M3408" s="1"/>
    </row>
    <row r="3409" spans="12:13" x14ac:dyDescent="0.25">
      <c r="L3409" s="1"/>
      <c r="M3409" s="1"/>
    </row>
    <row r="3410" spans="12:13" x14ac:dyDescent="0.25">
      <c r="L3410" s="1"/>
      <c r="M3410" s="1"/>
    </row>
    <row r="3411" spans="12:13" x14ac:dyDescent="0.25">
      <c r="L3411" s="1"/>
      <c r="M3411" s="1"/>
    </row>
    <row r="3412" spans="12:13" x14ac:dyDescent="0.25">
      <c r="L3412" s="1"/>
      <c r="M3412" s="1"/>
    </row>
    <row r="3413" spans="12:13" x14ac:dyDescent="0.25">
      <c r="L3413" s="1"/>
      <c r="M3413" s="1"/>
    </row>
    <row r="3414" spans="12:13" x14ac:dyDescent="0.25">
      <c r="L3414" s="1"/>
      <c r="M3414" s="1"/>
    </row>
    <row r="3415" spans="12:13" x14ac:dyDescent="0.25">
      <c r="L3415" s="1"/>
      <c r="M3415" s="1"/>
    </row>
    <row r="3416" spans="12:13" x14ac:dyDescent="0.25">
      <c r="L3416" s="1"/>
      <c r="M3416" s="1"/>
    </row>
    <row r="3417" spans="12:13" x14ac:dyDescent="0.25">
      <c r="L3417" s="1"/>
      <c r="M3417" s="1"/>
    </row>
    <row r="3418" spans="12:13" x14ac:dyDescent="0.25">
      <c r="L3418" s="1"/>
      <c r="M3418" s="1"/>
    </row>
    <row r="3419" spans="12:13" x14ac:dyDescent="0.25">
      <c r="L3419" s="1"/>
      <c r="M3419" s="1"/>
    </row>
    <row r="3420" spans="12:13" x14ac:dyDescent="0.25">
      <c r="L3420" s="1"/>
      <c r="M3420" s="1"/>
    </row>
    <row r="3421" spans="12:13" x14ac:dyDescent="0.25">
      <c r="L3421" s="1"/>
      <c r="M3421" s="1"/>
    </row>
    <row r="3422" spans="12:13" x14ac:dyDescent="0.25">
      <c r="L3422" s="1"/>
      <c r="M3422" s="1"/>
    </row>
    <row r="3423" spans="12:13" x14ac:dyDescent="0.25">
      <c r="L3423" s="1"/>
      <c r="M3423" s="1"/>
    </row>
    <row r="3424" spans="12:13" x14ac:dyDescent="0.25">
      <c r="L3424" s="1"/>
      <c r="M3424" s="1"/>
    </row>
    <row r="3425" spans="12:13" x14ac:dyDescent="0.25">
      <c r="L3425" s="1"/>
      <c r="M3425" s="1"/>
    </row>
    <row r="3426" spans="12:13" x14ac:dyDescent="0.25">
      <c r="L3426" s="1"/>
      <c r="M3426" s="1"/>
    </row>
    <row r="3427" spans="12:13" x14ac:dyDescent="0.25">
      <c r="L3427" s="1"/>
      <c r="M3427" s="1"/>
    </row>
    <row r="3428" spans="12:13" x14ac:dyDescent="0.25">
      <c r="L3428" s="1"/>
      <c r="M3428" s="1"/>
    </row>
    <row r="3429" spans="12:13" x14ac:dyDescent="0.25">
      <c r="L3429" s="1"/>
      <c r="M3429" s="1"/>
    </row>
    <row r="3430" spans="12:13" x14ac:dyDescent="0.25">
      <c r="L3430" s="1"/>
      <c r="M3430" s="1"/>
    </row>
    <row r="3431" spans="12:13" x14ac:dyDescent="0.25">
      <c r="L3431" s="1"/>
      <c r="M3431" s="1"/>
    </row>
    <row r="3432" spans="12:13" x14ac:dyDescent="0.25">
      <c r="L3432" s="1"/>
      <c r="M3432" s="1"/>
    </row>
    <row r="3433" spans="12:13" x14ac:dyDescent="0.25">
      <c r="L3433" s="1"/>
      <c r="M3433" s="1"/>
    </row>
    <row r="3434" spans="12:13" x14ac:dyDescent="0.25">
      <c r="L3434" s="1"/>
      <c r="M3434" s="1"/>
    </row>
    <row r="3435" spans="12:13" x14ac:dyDescent="0.25">
      <c r="L3435" s="1"/>
      <c r="M3435" s="1"/>
    </row>
    <row r="3436" spans="12:13" x14ac:dyDescent="0.25">
      <c r="L3436" s="1"/>
      <c r="M3436" s="1"/>
    </row>
    <row r="3437" spans="12:13" x14ac:dyDescent="0.25">
      <c r="L3437" s="1"/>
      <c r="M3437" s="1"/>
    </row>
    <row r="3438" spans="12:13" x14ac:dyDescent="0.25">
      <c r="L3438" s="1"/>
      <c r="M3438" s="1"/>
    </row>
    <row r="3439" spans="12:13" x14ac:dyDescent="0.25">
      <c r="L3439" s="1"/>
      <c r="M3439" s="1"/>
    </row>
    <row r="3440" spans="12:13" x14ac:dyDescent="0.25">
      <c r="L3440" s="1"/>
      <c r="M3440" s="1"/>
    </row>
    <row r="3441" spans="12:13" x14ac:dyDescent="0.25">
      <c r="L3441" s="1"/>
      <c r="M3441" s="1"/>
    </row>
    <row r="3442" spans="12:13" x14ac:dyDescent="0.25">
      <c r="L3442" s="1"/>
      <c r="M3442" s="1"/>
    </row>
    <row r="3443" spans="12:13" x14ac:dyDescent="0.25">
      <c r="L3443" s="1"/>
      <c r="M3443" s="1"/>
    </row>
    <row r="3444" spans="12:13" x14ac:dyDescent="0.25">
      <c r="L3444" s="1"/>
      <c r="M3444" s="1"/>
    </row>
    <row r="3445" spans="12:13" x14ac:dyDescent="0.25">
      <c r="L3445" s="1"/>
      <c r="M3445" s="1"/>
    </row>
    <row r="3446" spans="12:13" x14ac:dyDescent="0.25">
      <c r="L3446" s="1"/>
      <c r="M3446" s="1"/>
    </row>
    <row r="3447" spans="12:13" x14ac:dyDescent="0.25">
      <c r="L3447" s="1"/>
      <c r="M3447" s="1"/>
    </row>
    <row r="3448" spans="12:13" x14ac:dyDescent="0.25">
      <c r="L3448" s="1"/>
      <c r="M3448" s="1"/>
    </row>
    <row r="3449" spans="12:13" x14ac:dyDescent="0.25">
      <c r="L3449" s="1"/>
      <c r="M3449" s="1"/>
    </row>
    <row r="3450" spans="12:13" x14ac:dyDescent="0.25">
      <c r="L3450" s="1"/>
      <c r="M3450" s="1"/>
    </row>
    <row r="3451" spans="12:13" x14ac:dyDescent="0.25">
      <c r="L3451" s="1"/>
      <c r="M3451" s="1"/>
    </row>
    <row r="3452" spans="12:13" x14ac:dyDescent="0.25">
      <c r="L3452" s="1"/>
      <c r="M3452" s="1"/>
    </row>
    <row r="3453" spans="12:13" x14ac:dyDescent="0.25">
      <c r="L3453" s="1"/>
      <c r="M3453" s="1"/>
    </row>
    <row r="3454" spans="12:13" x14ac:dyDescent="0.25">
      <c r="L3454" s="1"/>
      <c r="M3454" s="1"/>
    </row>
    <row r="3455" spans="12:13" x14ac:dyDescent="0.25">
      <c r="L3455" s="1"/>
      <c r="M3455" s="1"/>
    </row>
    <row r="3456" spans="12:13" x14ac:dyDescent="0.25">
      <c r="L3456" s="1"/>
      <c r="M3456" s="1"/>
    </row>
    <row r="3457" spans="12:13" x14ac:dyDescent="0.25">
      <c r="L3457" s="1"/>
      <c r="M3457" s="1"/>
    </row>
    <row r="3458" spans="12:13" x14ac:dyDescent="0.25">
      <c r="L3458" s="1"/>
      <c r="M3458" s="1"/>
    </row>
    <row r="3459" spans="12:13" x14ac:dyDescent="0.25">
      <c r="L3459" s="1"/>
      <c r="M3459" s="1"/>
    </row>
    <row r="3460" spans="12:13" x14ac:dyDescent="0.25">
      <c r="L3460" s="1"/>
      <c r="M3460" s="1"/>
    </row>
    <row r="3461" spans="12:13" x14ac:dyDescent="0.25">
      <c r="L3461" s="1"/>
      <c r="M3461" s="1"/>
    </row>
    <row r="3462" spans="12:13" x14ac:dyDescent="0.25">
      <c r="L3462" s="1"/>
      <c r="M3462" s="1"/>
    </row>
    <row r="3463" spans="12:13" x14ac:dyDescent="0.25">
      <c r="L3463" s="1"/>
      <c r="M3463" s="1"/>
    </row>
    <row r="3464" spans="12:13" x14ac:dyDescent="0.25">
      <c r="L3464" s="1"/>
      <c r="M3464" s="1"/>
    </row>
    <row r="3465" spans="12:13" x14ac:dyDescent="0.25">
      <c r="L3465" s="1"/>
      <c r="M3465" s="1"/>
    </row>
    <row r="3466" spans="12:13" x14ac:dyDescent="0.25">
      <c r="L3466" s="1"/>
      <c r="M3466" s="1"/>
    </row>
    <row r="3467" spans="12:13" x14ac:dyDescent="0.25">
      <c r="L3467" s="1"/>
      <c r="M3467" s="1"/>
    </row>
    <row r="3468" spans="12:13" x14ac:dyDescent="0.25">
      <c r="L3468" s="1"/>
      <c r="M3468" s="1"/>
    </row>
    <row r="3469" spans="12:13" x14ac:dyDescent="0.25">
      <c r="L3469" s="1"/>
      <c r="M3469" s="1"/>
    </row>
    <row r="3470" spans="12:13" x14ac:dyDescent="0.25">
      <c r="L3470" s="1"/>
      <c r="M3470" s="1"/>
    </row>
    <row r="3471" spans="12:13" x14ac:dyDescent="0.25">
      <c r="L3471" s="1"/>
      <c r="M3471" s="1"/>
    </row>
    <row r="3472" spans="12:13" x14ac:dyDescent="0.25">
      <c r="L3472" s="1"/>
      <c r="M3472" s="1"/>
    </row>
    <row r="3473" spans="12:13" x14ac:dyDescent="0.25">
      <c r="L3473" s="1"/>
      <c r="M3473" s="1"/>
    </row>
    <row r="3474" spans="12:13" x14ac:dyDescent="0.25">
      <c r="L3474" s="1"/>
      <c r="M3474" s="1"/>
    </row>
    <row r="3475" spans="12:13" x14ac:dyDescent="0.25">
      <c r="L3475" s="1"/>
      <c r="M3475" s="1"/>
    </row>
    <row r="3476" spans="12:13" x14ac:dyDescent="0.25">
      <c r="L3476" s="1"/>
      <c r="M3476" s="1"/>
    </row>
    <row r="3477" spans="12:13" x14ac:dyDescent="0.25">
      <c r="L3477" s="1"/>
      <c r="M3477" s="1"/>
    </row>
    <row r="3478" spans="12:13" x14ac:dyDescent="0.25">
      <c r="L3478" s="1"/>
      <c r="M3478" s="1"/>
    </row>
    <row r="3479" spans="12:13" x14ac:dyDescent="0.25">
      <c r="L3479" s="1"/>
      <c r="M3479" s="1"/>
    </row>
    <row r="3480" spans="12:13" x14ac:dyDescent="0.25">
      <c r="L3480" s="1"/>
      <c r="M3480" s="1"/>
    </row>
    <row r="3481" spans="12:13" x14ac:dyDescent="0.25">
      <c r="L3481" s="1"/>
      <c r="M3481" s="1"/>
    </row>
    <row r="3482" spans="12:13" x14ac:dyDescent="0.25">
      <c r="L3482" s="1"/>
      <c r="M3482" s="1"/>
    </row>
    <row r="3483" spans="12:13" x14ac:dyDescent="0.25">
      <c r="L3483" s="1"/>
      <c r="M3483" s="1"/>
    </row>
    <row r="3484" spans="12:13" x14ac:dyDescent="0.25">
      <c r="L3484" s="1"/>
      <c r="M3484" s="1"/>
    </row>
    <row r="3485" spans="12:13" x14ac:dyDescent="0.25">
      <c r="L3485" s="1"/>
      <c r="M3485" s="1"/>
    </row>
    <row r="3486" spans="12:13" x14ac:dyDescent="0.25">
      <c r="L3486" s="1"/>
      <c r="M3486" s="1"/>
    </row>
    <row r="3487" spans="12:13" x14ac:dyDescent="0.25">
      <c r="L3487" s="1"/>
      <c r="M3487" s="1"/>
    </row>
    <row r="3488" spans="12:13" x14ac:dyDescent="0.25">
      <c r="L3488" s="1"/>
      <c r="M3488" s="1"/>
    </row>
    <row r="3489" spans="12:13" x14ac:dyDescent="0.25">
      <c r="L3489" s="1"/>
      <c r="M3489" s="1"/>
    </row>
    <row r="3490" spans="12:13" x14ac:dyDescent="0.25">
      <c r="L3490" s="1"/>
      <c r="M3490" s="1"/>
    </row>
    <row r="3491" spans="12:13" x14ac:dyDescent="0.25">
      <c r="L3491" s="1"/>
      <c r="M3491" s="1"/>
    </row>
    <row r="3492" spans="12:13" x14ac:dyDescent="0.25">
      <c r="L3492" s="1"/>
      <c r="M3492" s="1"/>
    </row>
    <row r="3493" spans="12:13" x14ac:dyDescent="0.25">
      <c r="L3493" s="1"/>
      <c r="M3493" s="1"/>
    </row>
    <row r="3494" spans="12:13" x14ac:dyDescent="0.25">
      <c r="L3494" s="1"/>
      <c r="M3494" s="1"/>
    </row>
    <row r="3495" spans="12:13" x14ac:dyDescent="0.25">
      <c r="L3495" s="1"/>
      <c r="M3495" s="1"/>
    </row>
    <row r="3496" spans="12:13" x14ac:dyDescent="0.25">
      <c r="L3496" s="1"/>
      <c r="M3496" s="1"/>
    </row>
    <row r="3497" spans="12:13" x14ac:dyDescent="0.25">
      <c r="L3497" s="1"/>
      <c r="M3497" s="1"/>
    </row>
    <row r="3498" spans="12:13" x14ac:dyDescent="0.25">
      <c r="L3498" s="1"/>
      <c r="M3498" s="1"/>
    </row>
    <row r="3499" spans="12:13" x14ac:dyDescent="0.25">
      <c r="L3499" s="1"/>
      <c r="M3499" s="1"/>
    </row>
    <row r="3500" spans="12:13" x14ac:dyDescent="0.25">
      <c r="L3500" s="1"/>
      <c r="M3500" s="1"/>
    </row>
    <row r="3501" spans="12:13" x14ac:dyDescent="0.25">
      <c r="L3501" s="1"/>
      <c r="M3501" s="1"/>
    </row>
    <row r="3502" spans="12:13" x14ac:dyDescent="0.25">
      <c r="L3502" s="1"/>
      <c r="M3502" s="1"/>
    </row>
    <row r="3503" spans="12:13" x14ac:dyDescent="0.25">
      <c r="L3503" s="1"/>
      <c r="M3503" s="1"/>
    </row>
    <row r="3504" spans="12:13" x14ac:dyDescent="0.25">
      <c r="L3504" s="1"/>
      <c r="M3504" s="1"/>
    </row>
    <row r="3505" spans="12:13" x14ac:dyDescent="0.25">
      <c r="L3505" s="1"/>
      <c r="M3505" s="1"/>
    </row>
    <row r="3506" spans="12:13" x14ac:dyDescent="0.25">
      <c r="L3506" s="1"/>
      <c r="M3506" s="1"/>
    </row>
    <row r="3507" spans="12:13" x14ac:dyDescent="0.25">
      <c r="L3507" s="1"/>
      <c r="M3507" s="1"/>
    </row>
    <row r="3508" spans="12:13" x14ac:dyDescent="0.25">
      <c r="L3508" s="1"/>
      <c r="M3508" s="1"/>
    </row>
    <row r="3509" spans="12:13" x14ac:dyDescent="0.25">
      <c r="L3509" s="1"/>
      <c r="M3509" s="1"/>
    </row>
    <row r="3510" spans="12:13" x14ac:dyDescent="0.25">
      <c r="L3510" s="1"/>
      <c r="M3510" s="1"/>
    </row>
    <row r="3511" spans="12:13" x14ac:dyDescent="0.25">
      <c r="L3511" s="1"/>
      <c r="M3511" s="1"/>
    </row>
    <row r="3512" spans="12:13" x14ac:dyDescent="0.25">
      <c r="L3512" s="1"/>
      <c r="M3512" s="1"/>
    </row>
    <row r="3513" spans="12:13" x14ac:dyDescent="0.25">
      <c r="L3513" s="1"/>
      <c r="M3513" s="1"/>
    </row>
    <row r="3514" spans="12:13" x14ac:dyDescent="0.25">
      <c r="L3514" s="1"/>
      <c r="M3514" s="1"/>
    </row>
    <row r="3515" spans="12:13" x14ac:dyDescent="0.25">
      <c r="L3515" s="1"/>
      <c r="M3515" s="1"/>
    </row>
    <row r="3516" spans="12:13" x14ac:dyDescent="0.25">
      <c r="L3516" s="1"/>
      <c r="M3516" s="1"/>
    </row>
    <row r="3517" spans="12:13" x14ac:dyDescent="0.25">
      <c r="L3517" s="1"/>
      <c r="M3517" s="1"/>
    </row>
    <row r="3518" spans="12:13" x14ac:dyDescent="0.25">
      <c r="L3518" s="1"/>
      <c r="M3518" s="1"/>
    </row>
    <row r="3519" spans="12:13" x14ac:dyDescent="0.25">
      <c r="L3519" s="1"/>
      <c r="M3519" s="1"/>
    </row>
    <row r="3520" spans="12:13" x14ac:dyDescent="0.25">
      <c r="L3520" s="1"/>
      <c r="M3520" s="1"/>
    </row>
    <row r="3521" spans="12:13" x14ac:dyDescent="0.25">
      <c r="L3521" s="1"/>
      <c r="M3521" s="1"/>
    </row>
    <row r="3522" spans="12:13" x14ac:dyDescent="0.25">
      <c r="L3522" s="1"/>
      <c r="M3522" s="1"/>
    </row>
    <row r="3523" spans="12:13" x14ac:dyDescent="0.25">
      <c r="L3523" s="1"/>
      <c r="M3523" s="1"/>
    </row>
    <row r="3524" spans="12:13" x14ac:dyDescent="0.25">
      <c r="L3524" s="1"/>
      <c r="M3524" s="1"/>
    </row>
    <row r="3525" spans="12:13" x14ac:dyDescent="0.25">
      <c r="L3525" s="1"/>
      <c r="M3525" s="1"/>
    </row>
    <row r="3526" spans="12:13" x14ac:dyDescent="0.25">
      <c r="L3526" s="1"/>
      <c r="M3526" s="1"/>
    </row>
    <row r="3527" spans="12:13" x14ac:dyDescent="0.25">
      <c r="L3527" s="1"/>
      <c r="M3527" s="1"/>
    </row>
    <row r="3528" spans="12:13" x14ac:dyDescent="0.25">
      <c r="L3528" s="1"/>
      <c r="M3528" s="1"/>
    </row>
    <row r="3529" spans="12:13" x14ac:dyDescent="0.25">
      <c r="L3529" s="1"/>
      <c r="M3529" s="1"/>
    </row>
    <row r="3530" spans="12:13" x14ac:dyDescent="0.25">
      <c r="L3530" s="1"/>
      <c r="M3530" s="1"/>
    </row>
    <row r="3531" spans="12:13" x14ac:dyDescent="0.25">
      <c r="L3531" s="1"/>
      <c r="M3531" s="1"/>
    </row>
    <row r="3532" spans="12:13" x14ac:dyDescent="0.25">
      <c r="L3532" s="1"/>
      <c r="M3532" s="1"/>
    </row>
    <row r="3533" spans="12:13" x14ac:dyDescent="0.25">
      <c r="L3533" s="1"/>
      <c r="M3533" s="1"/>
    </row>
    <row r="3534" spans="12:13" x14ac:dyDescent="0.25">
      <c r="L3534" s="1"/>
      <c r="M3534" s="1"/>
    </row>
    <row r="3535" spans="12:13" x14ac:dyDescent="0.25">
      <c r="L3535" s="1"/>
      <c r="M3535" s="1"/>
    </row>
    <row r="3536" spans="12:13" x14ac:dyDescent="0.25">
      <c r="L3536" s="1"/>
      <c r="M3536" s="1"/>
    </row>
    <row r="3537" spans="12:13" x14ac:dyDescent="0.25">
      <c r="L3537" s="1"/>
      <c r="M3537" s="1"/>
    </row>
    <row r="3538" spans="12:13" x14ac:dyDescent="0.25">
      <c r="L3538" s="1"/>
      <c r="M3538" s="1"/>
    </row>
    <row r="3539" spans="12:13" x14ac:dyDescent="0.25">
      <c r="L3539" s="1"/>
      <c r="M3539" s="1"/>
    </row>
    <row r="3540" spans="12:13" x14ac:dyDescent="0.25">
      <c r="L3540" s="1"/>
      <c r="M3540" s="1"/>
    </row>
    <row r="3541" spans="12:13" x14ac:dyDescent="0.25">
      <c r="L3541" s="1"/>
      <c r="M3541" s="1"/>
    </row>
    <row r="3542" spans="12:13" x14ac:dyDescent="0.25">
      <c r="L3542" s="1"/>
      <c r="M3542" s="1"/>
    </row>
    <row r="3543" spans="12:13" x14ac:dyDescent="0.25">
      <c r="L3543" s="1"/>
      <c r="M3543" s="1"/>
    </row>
    <row r="3544" spans="12:13" x14ac:dyDescent="0.25">
      <c r="L3544" s="1"/>
      <c r="M3544" s="1"/>
    </row>
    <row r="3545" spans="12:13" x14ac:dyDescent="0.25">
      <c r="L3545" s="1"/>
      <c r="M3545" s="1"/>
    </row>
    <row r="3546" spans="12:13" x14ac:dyDescent="0.25">
      <c r="L3546" s="1"/>
      <c r="M3546" s="1"/>
    </row>
    <row r="3547" spans="12:13" x14ac:dyDescent="0.25">
      <c r="L3547" s="1"/>
      <c r="M3547" s="1"/>
    </row>
    <row r="3548" spans="12:13" x14ac:dyDescent="0.25">
      <c r="L3548" s="1"/>
      <c r="M3548" s="1"/>
    </row>
    <row r="3549" spans="12:13" x14ac:dyDescent="0.25">
      <c r="L3549" s="1"/>
      <c r="M3549" s="1"/>
    </row>
    <row r="3550" spans="12:13" x14ac:dyDescent="0.25">
      <c r="L3550" s="1"/>
      <c r="M3550" s="1"/>
    </row>
    <row r="3551" spans="12:13" x14ac:dyDescent="0.25">
      <c r="L3551" s="1"/>
      <c r="M3551" s="1"/>
    </row>
    <row r="3552" spans="12:13" x14ac:dyDescent="0.25">
      <c r="L3552" s="1"/>
      <c r="M3552" s="1"/>
    </row>
    <row r="3553" spans="12:13" x14ac:dyDescent="0.25">
      <c r="L3553" s="1"/>
      <c r="M3553" s="1"/>
    </row>
    <row r="3554" spans="12:13" x14ac:dyDescent="0.25">
      <c r="L3554" s="1"/>
      <c r="M3554" s="1"/>
    </row>
    <row r="3555" spans="12:13" x14ac:dyDescent="0.25">
      <c r="L3555" s="1"/>
      <c r="M3555" s="1"/>
    </row>
    <row r="3556" spans="12:13" x14ac:dyDescent="0.25">
      <c r="L3556" s="1"/>
      <c r="M3556" s="1"/>
    </row>
    <row r="3557" spans="12:13" x14ac:dyDescent="0.25">
      <c r="L3557" s="1"/>
      <c r="M3557" s="1"/>
    </row>
    <row r="3558" spans="12:13" x14ac:dyDescent="0.25">
      <c r="L3558" s="1"/>
      <c r="M3558" s="1"/>
    </row>
    <row r="3559" spans="12:13" x14ac:dyDescent="0.25">
      <c r="L3559" s="1"/>
      <c r="M3559" s="1"/>
    </row>
    <row r="3560" spans="12:13" x14ac:dyDescent="0.25">
      <c r="L3560" s="1"/>
      <c r="M3560" s="1"/>
    </row>
    <row r="3561" spans="12:13" x14ac:dyDescent="0.25">
      <c r="L3561" s="1"/>
      <c r="M3561" s="1"/>
    </row>
    <row r="3562" spans="12:13" x14ac:dyDescent="0.25">
      <c r="L3562" s="1"/>
      <c r="M3562" s="1"/>
    </row>
    <row r="3563" spans="12:13" x14ac:dyDescent="0.25">
      <c r="L3563" s="1"/>
      <c r="M3563" s="1"/>
    </row>
    <row r="3564" spans="12:13" x14ac:dyDescent="0.25">
      <c r="L3564" s="1"/>
      <c r="M3564" s="1"/>
    </row>
    <row r="3565" spans="12:13" x14ac:dyDescent="0.25">
      <c r="L3565" s="1"/>
      <c r="M3565" s="1"/>
    </row>
    <row r="3566" spans="12:13" x14ac:dyDescent="0.25">
      <c r="L3566" s="1"/>
      <c r="M3566" s="1"/>
    </row>
    <row r="3567" spans="12:13" x14ac:dyDescent="0.25">
      <c r="L3567" s="1"/>
      <c r="M3567" s="1"/>
    </row>
    <row r="3568" spans="12:13" x14ac:dyDescent="0.25">
      <c r="L3568" s="1"/>
      <c r="M3568" s="1"/>
    </row>
    <row r="3569" spans="12:13" x14ac:dyDescent="0.25">
      <c r="L3569" s="1"/>
      <c r="M3569" s="1"/>
    </row>
    <row r="3570" spans="12:13" x14ac:dyDescent="0.25">
      <c r="L3570" s="1"/>
      <c r="M3570" s="1"/>
    </row>
    <row r="3571" spans="12:13" x14ac:dyDescent="0.25">
      <c r="L3571" s="1"/>
      <c r="M3571" s="1"/>
    </row>
    <row r="3572" spans="12:13" x14ac:dyDescent="0.25">
      <c r="L3572" s="1"/>
      <c r="M3572" s="1"/>
    </row>
    <row r="3573" spans="12:13" x14ac:dyDescent="0.25">
      <c r="L3573" s="1"/>
      <c r="M3573" s="1"/>
    </row>
    <row r="3574" spans="12:13" x14ac:dyDescent="0.25">
      <c r="L3574" s="1"/>
      <c r="M3574" s="1"/>
    </row>
    <row r="3575" spans="12:13" x14ac:dyDescent="0.25">
      <c r="L3575" s="1"/>
      <c r="M3575" s="1"/>
    </row>
    <row r="3576" spans="12:13" x14ac:dyDescent="0.25">
      <c r="L3576" s="1"/>
      <c r="M3576" s="1"/>
    </row>
    <row r="3577" spans="12:13" x14ac:dyDescent="0.25">
      <c r="L3577" s="1"/>
      <c r="M3577" s="1"/>
    </row>
    <row r="3578" spans="12:13" x14ac:dyDescent="0.25">
      <c r="L3578" s="1"/>
      <c r="M3578" s="1"/>
    </row>
    <row r="3579" spans="12:13" x14ac:dyDescent="0.25">
      <c r="L3579" s="1"/>
      <c r="M3579" s="1"/>
    </row>
    <row r="3580" spans="12:13" x14ac:dyDescent="0.25">
      <c r="L3580" s="1"/>
      <c r="M3580" s="1"/>
    </row>
    <row r="3581" spans="12:13" x14ac:dyDescent="0.25">
      <c r="L3581" s="1"/>
      <c r="M3581" s="1"/>
    </row>
    <row r="3582" spans="12:13" x14ac:dyDescent="0.25">
      <c r="L3582" s="1"/>
      <c r="M3582" s="1"/>
    </row>
    <row r="3583" spans="12:13" x14ac:dyDescent="0.25">
      <c r="L3583" s="1"/>
      <c r="M3583" s="1"/>
    </row>
    <row r="3584" spans="12:13" x14ac:dyDescent="0.25">
      <c r="L3584" s="1"/>
      <c r="M3584" s="1"/>
    </row>
    <row r="3585" spans="12:13" x14ac:dyDescent="0.25">
      <c r="L3585" s="1"/>
      <c r="M3585" s="1"/>
    </row>
    <row r="3586" spans="12:13" x14ac:dyDescent="0.25">
      <c r="L3586" s="1"/>
      <c r="M3586" s="1"/>
    </row>
    <row r="3587" spans="12:13" x14ac:dyDescent="0.25">
      <c r="L3587" s="1"/>
      <c r="M3587" s="1"/>
    </row>
    <row r="3588" spans="12:13" x14ac:dyDescent="0.25">
      <c r="L3588" s="1"/>
      <c r="M3588" s="1"/>
    </row>
    <row r="3589" spans="12:13" x14ac:dyDescent="0.25">
      <c r="L3589" s="1"/>
      <c r="M3589" s="1"/>
    </row>
    <row r="3590" spans="12:13" x14ac:dyDescent="0.25">
      <c r="L3590" s="1"/>
      <c r="M3590" s="1"/>
    </row>
    <row r="3591" spans="12:13" x14ac:dyDescent="0.25">
      <c r="L3591" s="1"/>
      <c r="M3591" s="1"/>
    </row>
    <row r="3592" spans="12:13" x14ac:dyDescent="0.25">
      <c r="L3592" s="1"/>
      <c r="M3592" s="1"/>
    </row>
    <row r="3593" spans="12:13" x14ac:dyDescent="0.25">
      <c r="L3593" s="1"/>
      <c r="M3593" s="1"/>
    </row>
    <row r="3594" spans="12:13" x14ac:dyDescent="0.25">
      <c r="L3594" s="1"/>
      <c r="M3594" s="1"/>
    </row>
    <row r="3595" spans="12:13" x14ac:dyDescent="0.25">
      <c r="L3595" s="1"/>
      <c r="M3595" s="1"/>
    </row>
    <row r="3596" spans="12:13" x14ac:dyDescent="0.25">
      <c r="L3596" s="1"/>
      <c r="M3596" s="1"/>
    </row>
    <row r="3597" spans="12:13" x14ac:dyDescent="0.25">
      <c r="L3597" s="1"/>
      <c r="M3597" s="1"/>
    </row>
    <row r="3598" spans="12:13" x14ac:dyDescent="0.25">
      <c r="L3598" s="1"/>
      <c r="M3598" s="1"/>
    </row>
    <row r="3599" spans="12:13" x14ac:dyDescent="0.25">
      <c r="L3599" s="1"/>
      <c r="M3599" s="1"/>
    </row>
    <row r="3600" spans="12:13" x14ac:dyDescent="0.25">
      <c r="L3600" s="1"/>
      <c r="M3600" s="1"/>
    </row>
    <row r="3601" spans="12:13" x14ac:dyDescent="0.25">
      <c r="L3601" s="1"/>
      <c r="M3601" s="1"/>
    </row>
    <row r="3602" spans="12:13" x14ac:dyDescent="0.25">
      <c r="L3602" s="1"/>
      <c r="M3602" s="1"/>
    </row>
    <row r="3603" spans="12:13" x14ac:dyDescent="0.25">
      <c r="L3603" s="1"/>
      <c r="M3603" s="1"/>
    </row>
    <row r="3604" spans="12:13" x14ac:dyDescent="0.25">
      <c r="L3604" s="1"/>
      <c r="M3604" s="1"/>
    </row>
    <row r="3605" spans="12:13" x14ac:dyDescent="0.25">
      <c r="L3605" s="1"/>
      <c r="M3605" s="1"/>
    </row>
    <row r="3606" spans="12:13" x14ac:dyDescent="0.25">
      <c r="L3606" s="1"/>
      <c r="M3606" s="1"/>
    </row>
    <row r="3607" spans="12:13" x14ac:dyDescent="0.25">
      <c r="L3607" s="1"/>
      <c r="M3607" s="1"/>
    </row>
    <row r="3608" spans="12:13" x14ac:dyDescent="0.25">
      <c r="L3608" s="1"/>
      <c r="M3608" s="1"/>
    </row>
    <row r="3609" spans="12:13" x14ac:dyDescent="0.25">
      <c r="L3609" s="1"/>
      <c r="M3609" s="1"/>
    </row>
    <row r="3610" spans="12:13" x14ac:dyDescent="0.25">
      <c r="L3610" s="1"/>
      <c r="M3610" s="1"/>
    </row>
    <row r="3611" spans="12:13" x14ac:dyDescent="0.25">
      <c r="L3611" s="1"/>
      <c r="M3611" s="1"/>
    </row>
    <row r="3612" spans="12:13" x14ac:dyDescent="0.25">
      <c r="L3612" s="1"/>
      <c r="M3612" s="1"/>
    </row>
    <row r="3613" spans="12:13" x14ac:dyDescent="0.25">
      <c r="L3613" s="1"/>
      <c r="M3613" s="1"/>
    </row>
    <row r="3614" spans="12:13" x14ac:dyDescent="0.25">
      <c r="L3614" s="1"/>
      <c r="M3614" s="1"/>
    </row>
    <row r="3615" spans="12:13" x14ac:dyDescent="0.25">
      <c r="L3615" s="1"/>
      <c r="M3615" s="1"/>
    </row>
    <row r="3616" spans="12:13" x14ac:dyDescent="0.25">
      <c r="L3616" s="1"/>
      <c r="M3616" s="1"/>
    </row>
    <row r="3617" spans="12:13" x14ac:dyDescent="0.25">
      <c r="L3617" s="1"/>
      <c r="M3617" s="1"/>
    </row>
    <row r="3618" spans="12:13" x14ac:dyDescent="0.25">
      <c r="L3618" s="1"/>
      <c r="M3618" s="1"/>
    </row>
    <row r="3619" spans="12:13" x14ac:dyDescent="0.25">
      <c r="L3619" s="1"/>
      <c r="M3619" s="1"/>
    </row>
    <row r="3620" spans="12:13" x14ac:dyDescent="0.25">
      <c r="L3620" s="1"/>
      <c r="M3620" s="1"/>
    </row>
    <row r="3621" spans="12:13" x14ac:dyDescent="0.25">
      <c r="L3621" s="1"/>
      <c r="M3621" s="1"/>
    </row>
    <row r="3622" spans="12:13" x14ac:dyDescent="0.25">
      <c r="L3622" s="1"/>
      <c r="M3622" s="1"/>
    </row>
    <row r="3623" spans="12:13" x14ac:dyDescent="0.25">
      <c r="L3623" s="1"/>
      <c r="M3623" s="1"/>
    </row>
    <row r="3624" spans="12:13" x14ac:dyDescent="0.25">
      <c r="L3624" s="1"/>
      <c r="M3624" s="1"/>
    </row>
    <row r="3625" spans="12:13" x14ac:dyDescent="0.25">
      <c r="L3625" s="1"/>
      <c r="M3625" s="1"/>
    </row>
    <row r="3626" spans="12:13" x14ac:dyDescent="0.25">
      <c r="L3626" s="1"/>
      <c r="M3626" s="1"/>
    </row>
    <row r="3627" spans="12:13" x14ac:dyDescent="0.25">
      <c r="L3627" s="1"/>
      <c r="M3627" s="1"/>
    </row>
    <row r="3628" spans="12:13" x14ac:dyDescent="0.25">
      <c r="L3628" s="1"/>
      <c r="M3628" s="1"/>
    </row>
    <row r="3629" spans="12:13" x14ac:dyDescent="0.25">
      <c r="L3629" s="1"/>
      <c r="M3629" s="1"/>
    </row>
    <row r="3630" spans="12:13" x14ac:dyDescent="0.25">
      <c r="L3630" s="1"/>
      <c r="M3630" s="1"/>
    </row>
    <row r="3631" spans="12:13" x14ac:dyDescent="0.25">
      <c r="L3631" s="1"/>
      <c r="M3631" s="1"/>
    </row>
    <row r="3632" spans="12:13" x14ac:dyDescent="0.25">
      <c r="L3632" s="1"/>
      <c r="M3632" s="1"/>
    </row>
    <row r="3633" spans="12:13" x14ac:dyDescent="0.25">
      <c r="L3633" s="1"/>
      <c r="M3633" s="1"/>
    </row>
    <row r="3634" spans="12:13" x14ac:dyDescent="0.25">
      <c r="L3634" s="1"/>
      <c r="M3634" s="1"/>
    </row>
    <row r="3635" spans="12:13" x14ac:dyDescent="0.25">
      <c r="L3635" s="1"/>
      <c r="M3635" s="1"/>
    </row>
    <row r="3636" spans="12:13" x14ac:dyDescent="0.25">
      <c r="L3636" s="1"/>
      <c r="M3636" s="1"/>
    </row>
    <row r="3637" spans="12:13" x14ac:dyDescent="0.25">
      <c r="L3637" s="1"/>
      <c r="M3637" s="1"/>
    </row>
    <row r="3638" spans="12:13" x14ac:dyDescent="0.25">
      <c r="L3638" s="1"/>
      <c r="M3638" s="1"/>
    </row>
    <row r="3639" spans="12:13" x14ac:dyDescent="0.25">
      <c r="L3639" s="1"/>
      <c r="M3639" s="1"/>
    </row>
    <row r="3640" spans="12:13" x14ac:dyDescent="0.25">
      <c r="L3640" s="1"/>
      <c r="M3640" s="1"/>
    </row>
    <row r="3641" spans="12:13" x14ac:dyDescent="0.25">
      <c r="L3641" s="1"/>
      <c r="M3641" s="1"/>
    </row>
    <row r="3642" spans="12:13" x14ac:dyDescent="0.25">
      <c r="L3642" s="1"/>
      <c r="M3642" s="1"/>
    </row>
    <row r="3643" spans="12:13" x14ac:dyDescent="0.25">
      <c r="L3643" s="1"/>
      <c r="M3643" s="1"/>
    </row>
    <row r="3644" spans="12:13" x14ac:dyDescent="0.25">
      <c r="L3644" s="1"/>
      <c r="M3644" s="1"/>
    </row>
    <row r="3645" spans="12:13" x14ac:dyDescent="0.25">
      <c r="L3645" s="1"/>
      <c r="M3645" s="1"/>
    </row>
    <row r="3646" spans="12:13" x14ac:dyDescent="0.25">
      <c r="L3646" s="1"/>
      <c r="M3646" s="1"/>
    </row>
    <row r="3647" spans="12:13" x14ac:dyDescent="0.25">
      <c r="L3647" s="1"/>
      <c r="M3647" s="1"/>
    </row>
    <row r="3648" spans="12:13" x14ac:dyDescent="0.25">
      <c r="L3648" s="1"/>
      <c r="M3648" s="1"/>
    </row>
    <row r="3649" spans="12:13" x14ac:dyDescent="0.25">
      <c r="L3649" s="1"/>
      <c r="M3649" s="1"/>
    </row>
    <row r="3650" spans="12:13" x14ac:dyDescent="0.25">
      <c r="L3650" s="1"/>
      <c r="M3650" s="1"/>
    </row>
    <row r="3651" spans="12:13" x14ac:dyDescent="0.25">
      <c r="L3651" s="1"/>
      <c r="M3651" s="1"/>
    </row>
    <row r="3652" spans="12:13" x14ac:dyDescent="0.25">
      <c r="L3652" s="1"/>
      <c r="M3652" s="1"/>
    </row>
    <row r="3653" spans="12:13" x14ac:dyDescent="0.25">
      <c r="L3653" s="1"/>
      <c r="M3653" s="1"/>
    </row>
    <row r="3654" spans="12:13" x14ac:dyDescent="0.25">
      <c r="L3654" s="1"/>
      <c r="M3654" s="1"/>
    </row>
    <row r="3655" spans="12:13" x14ac:dyDescent="0.25">
      <c r="L3655" s="1"/>
      <c r="M3655" s="1"/>
    </row>
    <row r="3656" spans="12:13" x14ac:dyDescent="0.25">
      <c r="L3656" s="1"/>
      <c r="M3656" s="1"/>
    </row>
    <row r="3657" spans="12:13" x14ac:dyDescent="0.25">
      <c r="L3657" s="1"/>
      <c r="M3657" s="1"/>
    </row>
    <row r="3658" spans="12:13" x14ac:dyDescent="0.25">
      <c r="L3658" s="1"/>
      <c r="M3658" s="1"/>
    </row>
    <row r="3659" spans="12:13" x14ac:dyDescent="0.25">
      <c r="L3659" s="1"/>
      <c r="M3659" s="1"/>
    </row>
    <row r="3660" spans="12:13" x14ac:dyDescent="0.25">
      <c r="L3660" s="1"/>
      <c r="M3660" s="1"/>
    </row>
    <row r="3661" spans="12:13" x14ac:dyDescent="0.25">
      <c r="L3661" s="1"/>
      <c r="M3661" s="1"/>
    </row>
    <row r="3662" spans="12:13" x14ac:dyDescent="0.25">
      <c r="L3662" s="1"/>
      <c r="M3662" s="1"/>
    </row>
    <row r="3663" spans="12:13" x14ac:dyDescent="0.25">
      <c r="L3663" s="1"/>
      <c r="M3663" s="1"/>
    </row>
    <row r="3664" spans="12:13" x14ac:dyDescent="0.25">
      <c r="L3664" s="1"/>
      <c r="M3664" s="1"/>
    </row>
    <row r="3665" spans="12:13" x14ac:dyDescent="0.25">
      <c r="L3665" s="1"/>
      <c r="M3665" s="1"/>
    </row>
    <row r="3666" spans="12:13" x14ac:dyDescent="0.25">
      <c r="L3666" s="1"/>
      <c r="M3666" s="1"/>
    </row>
    <row r="3667" spans="12:13" x14ac:dyDescent="0.25">
      <c r="L3667" s="1"/>
      <c r="M3667" s="1"/>
    </row>
    <row r="3668" spans="12:13" x14ac:dyDescent="0.25">
      <c r="L3668" s="1"/>
      <c r="M3668" s="1"/>
    </row>
    <row r="3669" spans="12:13" x14ac:dyDescent="0.25">
      <c r="L3669" s="1"/>
      <c r="M3669" s="1"/>
    </row>
    <row r="3670" spans="12:13" x14ac:dyDescent="0.25">
      <c r="L3670" s="1"/>
      <c r="M3670" s="1"/>
    </row>
    <row r="3671" spans="12:13" x14ac:dyDescent="0.25">
      <c r="L3671" s="1"/>
      <c r="M3671" s="1"/>
    </row>
    <row r="3672" spans="12:13" x14ac:dyDescent="0.25">
      <c r="L3672" s="1"/>
      <c r="M3672" s="1"/>
    </row>
    <row r="3673" spans="12:13" x14ac:dyDescent="0.25">
      <c r="L3673" s="1"/>
      <c r="M3673" s="1"/>
    </row>
    <row r="3674" spans="12:13" x14ac:dyDescent="0.25">
      <c r="L3674" s="1"/>
      <c r="M3674" s="1"/>
    </row>
    <row r="3675" spans="12:13" x14ac:dyDescent="0.25">
      <c r="L3675" s="1"/>
      <c r="M3675" s="1"/>
    </row>
    <row r="3676" spans="12:13" x14ac:dyDescent="0.25">
      <c r="L3676" s="1"/>
      <c r="M3676" s="1"/>
    </row>
    <row r="3677" spans="12:13" x14ac:dyDescent="0.25">
      <c r="L3677" s="1"/>
      <c r="M3677" s="1"/>
    </row>
    <row r="3678" spans="12:13" x14ac:dyDescent="0.25">
      <c r="L3678" s="1"/>
      <c r="M3678" s="1"/>
    </row>
    <row r="3679" spans="12:13" x14ac:dyDescent="0.25">
      <c r="L3679" s="1"/>
      <c r="M3679" s="1"/>
    </row>
    <row r="3680" spans="12:13" x14ac:dyDescent="0.25">
      <c r="L3680" s="1"/>
      <c r="M3680" s="1"/>
    </row>
    <row r="3681" spans="12:13" x14ac:dyDescent="0.25">
      <c r="L3681" s="1"/>
      <c r="M3681" s="1"/>
    </row>
    <row r="3682" spans="12:13" x14ac:dyDescent="0.25">
      <c r="L3682" s="1"/>
      <c r="M3682" s="1"/>
    </row>
    <row r="3683" spans="12:13" x14ac:dyDescent="0.25">
      <c r="L3683" s="1"/>
      <c r="M3683" s="1"/>
    </row>
    <row r="3684" spans="12:13" x14ac:dyDescent="0.25">
      <c r="L3684" s="1"/>
      <c r="M3684" s="1"/>
    </row>
    <row r="3685" spans="12:13" x14ac:dyDescent="0.25">
      <c r="L3685" s="1"/>
      <c r="M3685" s="1"/>
    </row>
    <row r="3686" spans="12:13" x14ac:dyDescent="0.25">
      <c r="L3686" s="1"/>
      <c r="M3686" s="1"/>
    </row>
    <row r="3687" spans="12:13" x14ac:dyDescent="0.25">
      <c r="L3687" s="1"/>
      <c r="M3687" s="1"/>
    </row>
    <row r="3688" spans="12:13" x14ac:dyDescent="0.25">
      <c r="L3688" s="1"/>
      <c r="M3688" s="1"/>
    </row>
    <row r="3689" spans="12:13" x14ac:dyDescent="0.25">
      <c r="L3689" s="1"/>
      <c r="M3689" s="1"/>
    </row>
    <row r="3690" spans="12:13" x14ac:dyDescent="0.25">
      <c r="L3690" s="1"/>
      <c r="M3690" s="1"/>
    </row>
    <row r="3691" spans="12:13" x14ac:dyDescent="0.25">
      <c r="L3691" s="1"/>
      <c r="M3691" s="1"/>
    </row>
    <row r="3692" spans="12:13" x14ac:dyDescent="0.25">
      <c r="L3692" s="1"/>
      <c r="M3692" s="1"/>
    </row>
    <row r="3693" spans="12:13" x14ac:dyDescent="0.25">
      <c r="L3693" s="1"/>
      <c r="M3693" s="1"/>
    </row>
    <row r="3694" spans="12:13" x14ac:dyDescent="0.25">
      <c r="L3694" s="1"/>
      <c r="M3694" s="1"/>
    </row>
    <row r="3695" spans="12:13" x14ac:dyDescent="0.25">
      <c r="L3695" s="1"/>
      <c r="M3695" s="1"/>
    </row>
    <row r="3696" spans="12:13" x14ac:dyDescent="0.25">
      <c r="L3696" s="1"/>
      <c r="M3696" s="1"/>
    </row>
    <row r="3697" spans="12:13" x14ac:dyDescent="0.25">
      <c r="L3697" s="1"/>
      <c r="M3697" s="1"/>
    </row>
    <row r="3698" spans="12:13" x14ac:dyDescent="0.25">
      <c r="L3698" s="1"/>
      <c r="M3698" s="1"/>
    </row>
    <row r="3699" spans="12:13" x14ac:dyDescent="0.25">
      <c r="L3699" s="1"/>
      <c r="M3699" s="1"/>
    </row>
    <row r="3700" spans="12:13" x14ac:dyDescent="0.25">
      <c r="L3700" s="1"/>
      <c r="M3700" s="1"/>
    </row>
    <row r="3701" spans="12:13" x14ac:dyDescent="0.25">
      <c r="L3701" s="1"/>
      <c r="M3701" s="1"/>
    </row>
    <row r="3702" spans="12:13" x14ac:dyDescent="0.25">
      <c r="L3702" s="1"/>
      <c r="M3702" s="1"/>
    </row>
    <row r="3703" spans="12:13" x14ac:dyDescent="0.25">
      <c r="L3703" s="1"/>
      <c r="M3703" s="1"/>
    </row>
    <row r="3704" spans="12:13" x14ac:dyDescent="0.25">
      <c r="L3704" s="1"/>
      <c r="M3704" s="1"/>
    </row>
    <row r="3705" spans="12:13" x14ac:dyDescent="0.25">
      <c r="L3705" s="1"/>
      <c r="M3705" s="1"/>
    </row>
    <row r="3706" spans="12:13" x14ac:dyDescent="0.25">
      <c r="L3706" s="1"/>
      <c r="M3706" s="1"/>
    </row>
    <row r="3707" spans="12:13" x14ac:dyDescent="0.25">
      <c r="L3707" s="1"/>
      <c r="M3707" s="1"/>
    </row>
    <row r="3708" spans="12:13" x14ac:dyDescent="0.25">
      <c r="L3708" s="1"/>
      <c r="M3708" s="1"/>
    </row>
    <row r="3709" spans="12:13" x14ac:dyDescent="0.25">
      <c r="L3709" s="1"/>
      <c r="M3709" s="1"/>
    </row>
    <row r="3710" spans="12:13" x14ac:dyDescent="0.25">
      <c r="L3710" s="1"/>
      <c r="M3710" s="1"/>
    </row>
    <row r="3711" spans="12:13" x14ac:dyDescent="0.25">
      <c r="L3711" s="1"/>
      <c r="M3711" s="1"/>
    </row>
    <row r="3712" spans="12:13" x14ac:dyDescent="0.25">
      <c r="L3712" s="1"/>
      <c r="M3712" s="1"/>
    </row>
    <row r="3713" spans="12:13" x14ac:dyDescent="0.25">
      <c r="L3713" s="1"/>
      <c r="M3713" s="1"/>
    </row>
    <row r="3714" spans="12:13" x14ac:dyDescent="0.25">
      <c r="L3714" s="1"/>
      <c r="M3714" s="1"/>
    </row>
    <row r="3715" spans="12:13" x14ac:dyDescent="0.25">
      <c r="L3715" s="1"/>
      <c r="M3715" s="1"/>
    </row>
    <row r="3716" spans="12:13" x14ac:dyDescent="0.25">
      <c r="L3716" s="1"/>
      <c r="M3716" s="1"/>
    </row>
    <row r="3717" spans="12:13" x14ac:dyDescent="0.25">
      <c r="L3717" s="1"/>
      <c r="M3717" s="1"/>
    </row>
    <row r="3718" spans="12:13" x14ac:dyDescent="0.25">
      <c r="L3718" s="1"/>
      <c r="M3718" s="1"/>
    </row>
    <row r="3719" spans="12:13" x14ac:dyDescent="0.25">
      <c r="L3719" s="1"/>
      <c r="M3719" s="1"/>
    </row>
    <row r="3720" spans="12:13" x14ac:dyDescent="0.25">
      <c r="L3720" s="1"/>
      <c r="M3720" s="1"/>
    </row>
    <row r="3721" spans="12:13" x14ac:dyDescent="0.25">
      <c r="L3721" s="1"/>
      <c r="M3721" s="1"/>
    </row>
    <row r="3722" spans="12:13" x14ac:dyDescent="0.25">
      <c r="L3722" s="1"/>
      <c r="M3722" s="1"/>
    </row>
    <row r="3723" spans="12:13" x14ac:dyDescent="0.25">
      <c r="L3723" s="1"/>
      <c r="M3723" s="1"/>
    </row>
    <row r="3724" spans="12:13" x14ac:dyDescent="0.25">
      <c r="L3724" s="1"/>
      <c r="M3724" s="1"/>
    </row>
    <row r="3725" spans="12:13" x14ac:dyDescent="0.25">
      <c r="L3725" s="1"/>
      <c r="M3725" s="1"/>
    </row>
    <row r="3726" spans="12:13" x14ac:dyDescent="0.25">
      <c r="L3726" s="1"/>
      <c r="M3726" s="1"/>
    </row>
    <row r="3727" spans="12:13" x14ac:dyDescent="0.25">
      <c r="L3727" s="1"/>
      <c r="M3727" s="1"/>
    </row>
    <row r="3728" spans="12:13" x14ac:dyDescent="0.25">
      <c r="L3728" s="1"/>
      <c r="M3728" s="1"/>
    </row>
    <row r="3729" spans="12:13" x14ac:dyDescent="0.25">
      <c r="L3729" s="1"/>
      <c r="M3729" s="1"/>
    </row>
    <row r="3730" spans="12:13" x14ac:dyDescent="0.25">
      <c r="L3730" s="1"/>
      <c r="M3730" s="1"/>
    </row>
    <row r="3731" spans="12:13" x14ac:dyDescent="0.25">
      <c r="L3731" s="1"/>
      <c r="M3731" s="1"/>
    </row>
    <row r="3732" spans="12:13" x14ac:dyDescent="0.25">
      <c r="L3732" s="1"/>
      <c r="M3732" s="1"/>
    </row>
    <row r="3733" spans="12:13" x14ac:dyDescent="0.25">
      <c r="L3733" s="1"/>
      <c r="M3733" s="1"/>
    </row>
    <row r="3734" spans="12:13" x14ac:dyDescent="0.25">
      <c r="L3734" s="1"/>
      <c r="M3734" s="1"/>
    </row>
    <row r="3735" spans="12:13" x14ac:dyDescent="0.25">
      <c r="L3735" s="1"/>
      <c r="M3735" s="1"/>
    </row>
    <row r="3736" spans="12:13" x14ac:dyDescent="0.25">
      <c r="L3736" s="1"/>
      <c r="M3736" s="1"/>
    </row>
    <row r="3737" spans="12:13" x14ac:dyDescent="0.25">
      <c r="L3737" s="1"/>
      <c r="M3737" s="1"/>
    </row>
    <row r="3738" spans="12:13" x14ac:dyDescent="0.25">
      <c r="L3738" s="1"/>
      <c r="M3738" s="1"/>
    </row>
    <row r="3739" spans="12:13" x14ac:dyDescent="0.25">
      <c r="L3739" s="1"/>
      <c r="M3739" s="1"/>
    </row>
    <row r="3740" spans="12:13" x14ac:dyDescent="0.25">
      <c r="L3740" s="1"/>
      <c r="M3740" s="1"/>
    </row>
    <row r="3741" spans="12:13" x14ac:dyDescent="0.25">
      <c r="L3741" s="1"/>
      <c r="M3741" s="1"/>
    </row>
    <row r="3742" spans="12:13" x14ac:dyDescent="0.25">
      <c r="L3742" s="1"/>
      <c r="M3742" s="1"/>
    </row>
    <row r="3743" spans="12:13" x14ac:dyDescent="0.25">
      <c r="L3743" s="1"/>
      <c r="M3743" s="1"/>
    </row>
    <row r="3744" spans="12:13" x14ac:dyDescent="0.25">
      <c r="L3744" s="1"/>
      <c r="M3744" s="1"/>
    </row>
    <row r="3745" spans="12:13" x14ac:dyDescent="0.25">
      <c r="L3745" s="1"/>
      <c r="M3745" s="1"/>
    </row>
    <row r="3746" spans="12:13" x14ac:dyDescent="0.25">
      <c r="L3746" s="1"/>
      <c r="M3746" s="1"/>
    </row>
    <row r="3747" spans="12:13" x14ac:dyDescent="0.25">
      <c r="L3747" s="1"/>
      <c r="M3747" s="1"/>
    </row>
    <row r="3748" spans="12:13" x14ac:dyDescent="0.25">
      <c r="L3748" s="1"/>
      <c r="M3748" s="1"/>
    </row>
    <row r="3749" spans="12:13" x14ac:dyDescent="0.25">
      <c r="L3749" s="1"/>
      <c r="M3749" s="1"/>
    </row>
    <row r="3750" spans="12:13" x14ac:dyDescent="0.25">
      <c r="L3750" s="1"/>
      <c r="M3750" s="1"/>
    </row>
    <row r="3751" spans="12:13" x14ac:dyDescent="0.25">
      <c r="L3751" s="1"/>
      <c r="M3751" s="1"/>
    </row>
    <row r="3752" spans="12:13" x14ac:dyDescent="0.25">
      <c r="L3752" s="1"/>
      <c r="M3752" s="1"/>
    </row>
    <row r="3753" spans="12:13" x14ac:dyDescent="0.25">
      <c r="L3753" s="1"/>
      <c r="M3753" s="1"/>
    </row>
    <row r="3754" spans="12:13" x14ac:dyDescent="0.25">
      <c r="L3754" s="1"/>
      <c r="M3754" s="1"/>
    </row>
    <row r="3755" spans="12:13" x14ac:dyDescent="0.25">
      <c r="L3755" s="1"/>
      <c r="M3755" s="1"/>
    </row>
    <row r="3756" spans="12:13" x14ac:dyDescent="0.25">
      <c r="L3756" s="1"/>
      <c r="M3756" s="1"/>
    </row>
    <row r="3757" spans="12:13" x14ac:dyDescent="0.25">
      <c r="L3757" s="1"/>
      <c r="M3757" s="1"/>
    </row>
    <row r="3758" spans="12:13" x14ac:dyDescent="0.25">
      <c r="L3758" s="1"/>
      <c r="M3758" s="1"/>
    </row>
    <row r="3759" spans="12:13" x14ac:dyDescent="0.25">
      <c r="L3759" s="1"/>
      <c r="M3759" s="1"/>
    </row>
    <row r="3760" spans="12:13" x14ac:dyDescent="0.25">
      <c r="L3760" s="1"/>
      <c r="M3760" s="1"/>
    </row>
    <row r="3761" spans="12:13" x14ac:dyDescent="0.25">
      <c r="L3761" s="1"/>
      <c r="M3761" s="1"/>
    </row>
    <row r="3762" spans="12:13" x14ac:dyDescent="0.25">
      <c r="L3762" s="1"/>
      <c r="M3762" s="1"/>
    </row>
    <row r="3763" spans="12:13" x14ac:dyDescent="0.25">
      <c r="L3763" s="1"/>
      <c r="M3763" s="1"/>
    </row>
    <row r="3764" spans="12:13" x14ac:dyDescent="0.25">
      <c r="L3764" s="1"/>
      <c r="M3764" s="1"/>
    </row>
    <row r="3765" spans="12:13" x14ac:dyDescent="0.25">
      <c r="L3765" s="1"/>
      <c r="M3765" s="1"/>
    </row>
    <row r="3766" spans="12:13" x14ac:dyDescent="0.25">
      <c r="L3766" s="1"/>
      <c r="M3766" s="1"/>
    </row>
    <row r="3767" spans="12:13" x14ac:dyDescent="0.25">
      <c r="L3767" s="1"/>
      <c r="M3767" s="1"/>
    </row>
    <row r="3768" spans="12:13" x14ac:dyDescent="0.25">
      <c r="L3768" s="1"/>
      <c r="M3768" s="1"/>
    </row>
    <row r="3769" spans="12:13" x14ac:dyDescent="0.25">
      <c r="L3769" s="1"/>
      <c r="M3769" s="1"/>
    </row>
    <row r="3770" spans="12:13" x14ac:dyDescent="0.25">
      <c r="L3770" s="1"/>
      <c r="M3770" s="1"/>
    </row>
    <row r="3771" spans="12:13" x14ac:dyDescent="0.25">
      <c r="L3771" s="1"/>
      <c r="M3771" s="1"/>
    </row>
    <row r="3772" spans="12:13" x14ac:dyDescent="0.25">
      <c r="L3772" s="1"/>
      <c r="M3772" s="1"/>
    </row>
    <row r="3773" spans="12:13" x14ac:dyDescent="0.25">
      <c r="L3773" s="1"/>
      <c r="M3773" s="1"/>
    </row>
    <row r="3774" spans="12:13" x14ac:dyDescent="0.25">
      <c r="L3774" s="1"/>
      <c r="M3774" s="1"/>
    </row>
    <row r="3775" spans="12:13" x14ac:dyDescent="0.25">
      <c r="L3775" s="1"/>
      <c r="M3775" s="1"/>
    </row>
    <row r="3776" spans="12:13" x14ac:dyDescent="0.25">
      <c r="L3776" s="1"/>
      <c r="M3776" s="1"/>
    </row>
    <row r="3777" spans="12:13" x14ac:dyDescent="0.25">
      <c r="L3777" s="1"/>
      <c r="M3777" s="1"/>
    </row>
    <row r="3778" spans="12:13" x14ac:dyDescent="0.25">
      <c r="L3778" s="1"/>
      <c r="M3778" s="1"/>
    </row>
    <row r="3779" spans="12:13" x14ac:dyDescent="0.25">
      <c r="L3779" s="1"/>
      <c r="M3779" s="1"/>
    </row>
    <row r="3780" spans="12:13" x14ac:dyDescent="0.25">
      <c r="L3780" s="1"/>
      <c r="M3780" s="1"/>
    </row>
    <row r="3781" spans="12:13" x14ac:dyDescent="0.25">
      <c r="L3781" s="1"/>
      <c r="M3781" s="1"/>
    </row>
    <row r="3782" spans="12:13" x14ac:dyDescent="0.25">
      <c r="L3782" s="1"/>
      <c r="M3782" s="1"/>
    </row>
    <row r="3783" spans="12:13" x14ac:dyDescent="0.25">
      <c r="L3783" s="1"/>
      <c r="M3783" s="1"/>
    </row>
    <row r="3784" spans="12:13" x14ac:dyDescent="0.25">
      <c r="L3784" s="1"/>
      <c r="M3784" s="1"/>
    </row>
    <row r="3785" spans="12:13" x14ac:dyDescent="0.25">
      <c r="L3785" s="1"/>
      <c r="M3785" s="1"/>
    </row>
    <row r="3786" spans="12:13" x14ac:dyDescent="0.25">
      <c r="L3786" s="1"/>
      <c r="M3786" s="1"/>
    </row>
    <row r="3787" spans="12:13" x14ac:dyDescent="0.25">
      <c r="L3787" s="1"/>
      <c r="M3787" s="1"/>
    </row>
    <row r="3788" spans="12:13" x14ac:dyDescent="0.25">
      <c r="L3788" s="1"/>
      <c r="M3788" s="1"/>
    </row>
    <row r="3789" spans="12:13" x14ac:dyDescent="0.25">
      <c r="L3789" s="1"/>
      <c r="M3789" s="1"/>
    </row>
    <row r="3790" spans="12:13" x14ac:dyDescent="0.25">
      <c r="L3790" s="1"/>
      <c r="M3790" s="1"/>
    </row>
    <row r="3791" spans="12:13" x14ac:dyDescent="0.25">
      <c r="L3791" s="1"/>
      <c r="M3791" s="1"/>
    </row>
    <row r="3792" spans="12:13" x14ac:dyDescent="0.25">
      <c r="L3792" s="1"/>
      <c r="M3792" s="1"/>
    </row>
    <row r="3793" spans="12:13" x14ac:dyDescent="0.25">
      <c r="L3793" s="1"/>
      <c r="M3793" s="1"/>
    </row>
    <row r="3794" spans="12:13" x14ac:dyDescent="0.25">
      <c r="L3794" s="1"/>
      <c r="M3794" s="1"/>
    </row>
    <row r="3795" spans="12:13" x14ac:dyDescent="0.25">
      <c r="L3795" s="1"/>
      <c r="M3795" s="1"/>
    </row>
    <row r="3796" spans="12:13" x14ac:dyDescent="0.25">
      <c r="L3796" s="1"/>
      <c r="M3796" s="1"/>
    </row>
    <row r="3797" spans="12:13" x14ac:dyDescent="0.25">
      <c r="L3797" s="1"/>
      <c r="M3797" s="1"/>
    </row>
    <row r="3798" spans="12:13" x14ac:dyDescent="0.25">
      <c r="L3798" s="1"/>
      <c r="M3798" s="1"/>
    </row>
    <row r="3799" spans="12:13" x14ac:dyDescent="0.25">
      <c r="L3799" s="1"/>
      <c r="M3799" s="1"/>
    </row>
    <row r="3800" spans="12:13" x14ac:dyDescent="0.25">
      <c r="L3800" s="1"/>
      <c r="M3800" s="1"/>
    </row>
    <row r="3801" spans="12:13" x14ac:dyDescent="0.25">
      <c r="L3801" s="1"/>
      <c r="M3801" s="1"/>
    </row>
    <row r="3802" spans="12:13" x14ac:dyDescent="0.25">
      <c r="L3802" s="1"/>
      <c r="M3802" s="1"/>
    </row>
    <row r="3803" spans="12:13" x14ac:dyDescent="0.25">
      <c r="L3803" s="1"/>
      <c r="M3803" s="1"/>
    </row>
    <row r="3804" spans="12:13" x14ac:dyDescent="0.25">
      <c r="L3804" s="1"/>
      <c r="M3804" s="1"/>
    </row>
    <row r="3805" spans="12:13" x14ac:dyDescent="0.25">
      <c r="L3805" s="1"/>
      <c r="M3805" s="1"/>
    </row>
    <row r="3806" spans="12:13" x14ac:dyDescent="0.25">
      <c r="L3806" s="1"/>
      <c r="M3806" s="1"/>
    </row>
    <row r="3807" spans="12:13" x14ac:dyDescent="0.25">
      <c r="L3807" s="1"/>
      <c r="M3807" s="1"/>
    </row>
    <row r="3808" spans="12:13" x14ac:dyDescent="0.25">
      <c r="L3808" s="1"/>
      <c r="M3808" s="1"/>
    </row>
    <row r="3809" spans="12:13" x14ac:dyDescent="0.25">
      <c r="L3809" s="1"/>
      <c r="M3809" s="1"/>
    </row>
    <row r="3810" spans="12:13" x14ac:dyDescent="0.25">
      <c r="L3810" s="1"/>
      <c r="M3810" s="1"/>
    </row>
    <row r="3811" spans="12:13" x14ac:dyDescent="0.25">
      <c r="L3811" s="1"/>
      <c r="M3811" s="1"/>
    </row>
    <row r="3812" spans="12:13" x14ac:dyDescent="0.25">
      <c r="L3812" s="1"/>
      <c r="M3812" s="1"/>
    </row>
    <row r="3813" spans="12:13" x14ac:dyDescent="0.25">
      <c r="L3813" s="1"/>
      <c r="M3813" s="1"/>
    </row>
    <row r="3814" spans="12:13" x14ac:dyDescent="0.25">
      <c r="L3814" s="1"/>
      <c r="M3814" s="1"/>
    </row>
    <row r="3815" spans="12:13" x14ac:dyDescent="0.25">
      <c r="L3815" s="1"/>
      <c r="M3815" s="1"/>
    </row>
    <row r="3816" spans="12:13" x14ac:dyDescent="0.25">
      <c r="L3816" s="1"/>
      <c r="M3816" s="1"/>
    </row>
    <row r="3817" spans="12:13" x14ac:dyDescent="0.25">
      <c r="L3817" s="1"/>
      <c r="M3817" s="1"/>
    </row>
    <row r="3818" spans="12:13" x14ac:dyDescent="0.25">
      <c r="L3818" s="1"/>
      <c r="M3818" s="1"/>
    </row>
    <row r="3819" spans="12:13" x14ac:dyDescent="0.25">
      <c r="L3819" s="1"/>
      <c r="M3819" s="1"/>
    </row>
    <row r="3820" spans="12:13" x14ac:dyDescent="0.25">
      <c r="L3820" s="1"/>
      <c r="M3820" s="1"/>
    </row>
    <row r="3821" spans="12:13" x14ac:dyDescent="0.25">
      <c r="L3821" s="1"/>
      <c r="M3821" s="1"/>
    </row>
    <row r="3822" spans="12:13" x14ac:dyDescent="0.25">
      <c r="L3822" s="1"/>
      <c r="M3822" s="1"/>
    </row>
    <row r="3823" spans="12:13" x14ac:dyDescent="0.25">
      <c r="L3823" s="1"/>
      <c r="M3823" s="1"/>
    </row>
    <row r="3824" spans="12:13" x14ac:dyDescent="0.25">
      <c r="L3824" s="1"/>
      <c r="M3824" s="1"/>
    </row>
    <row r="3825" spans="12:13" x14ac:dyDescent="0.25">
      <c r="L3825" s="1"/>
      <c r="M3825" s="1"/>
    </row>
    <row r="3826" spans="12:13" x14ac:dyDescent="0.25">
      <c r="L3826" s="1"/>
      <c r="M3826" s="1"/>
    </row>
    <row r="3827" spans="12:13" x14ac:dyDescent="0.25">
      <c r="L3827" s="1"/>
      <c r="M3827" s="1"/>
    </row>
    <row r="3828" spans="12:13" x14ac:dyDescent="0.25">
      <c r="L3828" s="1"/>
      <c r="M3828" s="1"/>
    </row>
    <row r="3829" spans="12:13" x14ac:dyDescent="0.25">
      <c r="L3829" s="1"/>
      <c r="M3829" s="1"/>
    </row>
    <row r="3830" spans="12:13" x14ac:dyDescent="0.25">
      <c r="L3830" s="1"/>
      <c r="M3830" s="1"/>
    </row>
    <row r="3831" spans="12:13" x14ac:dyDescent="0.25">
      <c r="L3831" s="1"/>
      <c r="M3831" s="1"/>
    </row>
    <row r="3832" spans="12:13" x14ac:dyDescent="0.25">
      <c r="L3832" s="1"/>
      <c r="M3832" s="1"/>
    </row>
    <row r="3833" spans="12:13" x14ac:dyDescent="0.25">
      <c r="L3833" s="1"/>
      <c r="M3833" s="1"/>
    </row>
    <row r="3834" spans="12:13" x14ac:dyDescent="0.25">
      <c r="L3834" s="1"/>
      <c r="M3834" s="1"/>
    </row>
    <row r="3835" spans="12:13" x14ac:dyDescent="0.25">
      <c r="L3835" s="1"/>
      <c r="M3835" s="1"/>
    </row>
    <row r="3836" spans="12:13" x14ac:dyDescent="0.25">
      <c r="L3836" s="1"/>
      <c r="M3836" s="1"/>
    </row>
    <row r="3837" spans="12:13" x14ac:dyDescent="0.25">
      <c r="L3837" s="1"/>
      <c r="M3837" s="1"/>
    </row>
    <row r="3838" spans="12:13" x14ac:dyDescent="0.25">
      <c r="L3838" s="1"/>
      <c r="M3838" s="1"/>
    </row>
    <row r="3839" spans="12:13" x14ac:dyDescent="0.25">
      <c r="L3839" s="1"/>
      <c r="M3839" s="1"/>
    </row>
    <row r="3840" spans="12:13" x14ac:dyDescent="0.25">
      <c r="L3840" s="1"/>
      <c r="M3840" s="1"/>
    </row>
    <row r="3841" spans="12:13" x14ac:dyDescent="0.25">
      <c r="L3841" s="1"/>
      <c r="M3841" s="1"/>
    </row>
    <row r="3842" spans="12:13" x14ac:dyDescent="0.25">
      <c r="L3842" s="1"/>
      <c r="M3842" s="1"/>
    </row>
    <row r="3843" spans="12:13" x14ac:dyDescent="0.25">
      <c r="L3843" s="1"/>
      <c r="M3843" s="1"/>
    </row>
    <row r="3844" spans="12:13" x14ac:dyDescent="0.25">
      <c r="L3844" s="1"/>
      <c r="M3844" s="1"/>
    </row>
    <row r="3845" spans="12:13" x14ac:dyDescent="0.25">
      <c r="L3845" s="1"/>
      <c r="M3845" s="1"/>
    </row>
    <row r="3846" spans="12:13" x14ac:dyDescent="0.25">
      <c r="L3846" s="1"/>
      <c r="M3846" s="1"/>
    </row>
    <row r="3847" spans="12:13" x14ac:dyDescent="0.25">
      <c r="L3847" s="1"/>
      <c r="M3847" s="1"/>
    </row>
    <row r="3848" spans="12:13" x14ac:dyDescent="0.25">
      <c r="L3848" s="1"/>
      <c r="M3848" s="1"/>
    </row>
    <row r="3849" spans="12:13" x14ac:dyDescent="0.25">
      <c r="L3849" s="1"/>
      <c r="M3849" s="1"/>
    </row>
    <row r="3850" spans="12:13" x14ac:dyDescent="0.25">
      <c r="L3850" s="1"/>
      <c r="M3850" s="1"/>
    </row>
    <row r="3851" spans="12:13" x14ac:dyDescent="0.25">
      <c r="L3851" s="1"/>
      <c r="M3851" s="1"/>
    </row>
    <row r="3852" spans="12:13" x14ac:dyDescent="0.25">
      <c r="L3852" s="1"/>
      <c r="M3852" s="1"/>
    </row>
    <row r="3853" spans="12:13" x14ac:dyDescent="0.25">
      <c r="L3853" s="1"/>
      <c r="M3853" s="1"/>
    </row>
    <row r="3854" spans="12:13" x14ac:dyDescent="0.25">
      <c r="L3854" s="1"/>
      <c r="M3854" s="1"/>
    </row>
    <row r="3855" spans="12:13" x14ac:dyDescent="0.25">
      <c r="L3855" s="1"/>
      <c r="M3855" s="1"/>
    </row>
    <row r="3856" spans="12:13" x14ac:dyDescent="0.25">
      <c r="L3856" s="1"/>
      <c r="M3856" s="1"/>
    </row>
    <row r="3857" spans="12:13" x14ac:dyDescent="0.25">
      <c r="L3857" s="1"/>
      <c r="M3857" s="1"/>
    </row>
    <row r="3858" spans="12:13" x14ac:dyDescent="0.25">
      <c r="L3858" s="1"/>
      <c r="M3858" s="1"/>
    </row>
    <row r="3859" spans="12:13" x14ac:dyDescent="0.25">
      <c r="L3859" s="1"/>
      <c r="M3859" s="1"/>
    </row>
    <row r="3860" spans="12:13" x14ac:dyDescent="0.25">
      <c r="L3860" s="1"/>
      <c r="M3860" s="1"/>
    </row>
    <row r="3861" spans="12:13" x14ac:dyDescent="0.25">
      <c r="L3861" s="1"/>
      <c r="M3861" s="1"/>
    </row>
    <row r="3862" spans="12:13" x14ac:dyDescent="0.25">
      <c r="L3862" s="1"/>
      <c r="M3862" s="1"/>
    </row>
    <row r="3863" spans="12:13" x14ac:dyDescent="0.25">
      <c r="L3863" s="1"/>
      <c r="M3863" s="1"/>
    </row>
    <row r="3864" spans="12:13" x14ac:dyDescent="0.25">
      <c r="L3864" s="1"/>
      <c r="M3864" s="1"/>
    </row>
    <row r="3865" spans="12:13" x14ac:dyDescent="0.25">
      <c r="L3865" s="1"/>
      <c r="M3865" s="1"/>
    </row>
    <row r="3866" spans="12:13" x14ac:dyDescent="0.25">
      <c r="L3866" s="1"/>
      <c r="M3866" s="1"/>
    </row>
    <row r="3867" spans="12:13" x14ac:dyDescent="0.25">
      <c r="L3867" s="1"/>
      <c r="M3867" s="1"/>
    </row>
    <row r="3868" spans="12:13" x14ac:dyDescent="0.25">
      <c r="L3868" s="1"/>
      <c r="M3868" s="1"/>
    </row>
    <row r="3869" spans="12:13" x14ac:dyDescent="0.25">
      <c r="L3869" s="1"/>
      <c r="M3869" s="1"/>
    </row>
    <row r="3870" spans="12:13" x14ac:dyDescent="0.25">
      <c r="L3870" s="1"/>
      <c r="M3870" s="1"/>
    </row>
    <row r="3871" spans="12:13" x14ac:dyDescent="0.25">
      <c r="L3871" s="1"/>
      <c r="M3871" s="1"/>
    </row>
    <row r="3872" spans="12:13" x14ac:dyDescent="0.25">
      <c r="L3872" s="1"/>
      <c r="M3872" s="1"/>
    </row>
    <row r="3873" spans="12:13" x14ac:dyDescent="0.25">
      <c r="L3873" s="1"/>
      <c r="M3873" s="1"/>
    </row>
    <row r="3874" spans="12:13" x14ac:dyDescent="0.25">
      <c r="L3874" s="1"/>
      <c r="M3874" s="1"/>
    </row>
    <row r="3875" spans="12:13" x14ac:dyDescent="0.25">
      <c r="L3875" s="1"/>
      <c r="M3875" s="1"/>
    </row>
    <row r="3876" spans="12:13" x14ac:dyDescent="0.25">
      <c r="L3876" s="1"/>
      <c r="M3876" s="1"/>
    </row>
    <row r="3877" spans="12:13" x14ac:dyDescent="0.25">
      <c r="L3877" s="1"/>
      <c r="M3877" s="1"/>
    </row>
    <row r="3878" spans="12:13" x14ac:dyDescent="0.25">
      <c r="L3878" s="1"/>
      <c r="M3878" s="1"/>
    </row>
    <row r="3879" spans="12:13" x14ac:dyDescent="0.25">
      <c r="L3879" s="1"/>
      <c r="M3879" s="1"/>
    </row>
    <row r="3880" spans="12:13" x14ac:dyDescent="0.25">
      <c r="L3880" s="1"/>
      <c r="M3880" s="1"/>
    </row>
    <row r="3881" spans="12:13" x14ac:dyDescent="0.25">
      <c r="L3881" s="1"/>
      <c r="M3881" s="1"/>
    </row>
    <row r="3882" spans="12:13" x14ac:dyDescent="0.25">
      <c r="L3882" s="1"/>
      <c r="M3882" s="1"/>
    </row>
    <row r="3883" spans="12:13" x14ac:dyDescent="0.25">
      <c r="L3883" s="1"/>
      <c r="M3883" s="1"/>
    </row>
    <row r="3884" spans="12:13" x14ac:dyDescent="0.25">
      <c r="L3884" s="1"/>
      <c r="M3884" s="1"/>
    </row>
    <row r="3885" spans="12:13" x14ac:dyDescent="0.25">
      <c r="L3885" s="1"/>
      <c r="M3885" s="1"/>
    </row>
    <row r="3886" spans="12:13" x14ac:dyDescent="0.25">
      <c r="L3886" s="1"/>
      <c r="M3886" s="1"/>
    </row>
    <row r="3887" spans="12:13" x14ac:dyDescent="0.25">
      <c r="L3887" s="1"/>
      <c r="M3887" s="1"/>
    </row>
    <row r="3888" spans="12:13" x14ac:dyDescent="0.25">
      <c r="L3888" s="1"/>
      <c r="M3888" s="1"/>
    </row>
    <row r="3889" spans="12:13" x14ac:dyDescent="0.25">
      <c r="L3889" s="1"/>
      <c r="M3889" s="1"/>
    </row>
    <row r="3890" spans="12:13" x14ac:dyDescent="0.25">
      <c r="L3890" s="1"/>
      <c r="M3890" s="1"/>
    </row>
    <row r="3891" spans="12:13" x14ac:dyDescent="0.25">
      <c r="L3891" s="1"/>
      <c r="M3891" s="1"/>
    </row>
    <row r="3892" spans="12:13" x14ac:dyDescent="0.25">
      <c r="L3892" s="1"/>
      <c r="M3892" s="1"/>
    </row>
    <row r="3893" spans="12:13" x14ac:dyDescent="0.25">
      <c r="L3893" s="1"/>
      <c r="M3893" s="1"/>
    </row>
    <row r="3894" spans="12:13" x14ac:dyDescent="0.25">
      <c r="L3894" s="1"/>
      <c r="M3894" s="1"/>
    </row>
    <row r="3895" spans="12:13" x14ac:dyDescent="0.25">
      <c r="L3895" s="1"/>
      <c r="M3895" s="1"/>
    </row>
    <row r="3896" spans="12:13" x14ac:dyDescent="0.25">
      <c r="L3896" s="1"/>
      <c r="M3896" s="1"/>
    </row>
    <row r="3897" spans="12:13" x14ac:dyDescent="0.25">
      <c r="L3897" s="1"/>
      <c r="M3897" s="1"/>
    </row>
    <row r="3898" spans="12:13" x14ac:dyDescent="0.25">
      <c r="L3898" s="1"/>
      <c r="M3898" s="1"/>
    </row>
    <row r="3899" spans="12:13" x14ac:dyDescent="0.25">
      <c r="L3899" s="1"/>
      <c r="M3899" s="1"/>
    </row>
    <row r="3900" spans="12:13" x14ac:dyDescent="0.25">
      <c r="L3900" s="1"/>
      <c r="M3900" s="1"/>
    </row>
    <row r="3901" spans="12:13" x14ac:dyDescent="0.25">
      <c r="L3901" s="1"/>
      <c r="M3901" s="1"/>
    </row>
    <row r="3902" spans="12:13" x14ac:dyDescent="0.25">
      <c r="L3902" s="1"/>
      <c r="M3902" s="1"/>
    </row>
    <row r="3903" spans="12:13" x14ac:dyDescent="0.25">
      <c r="L3903" s="1"/>
      <c r="M3903" s="1"/>
    </row>
    <row r="3904" spans="12:13" x14ac:dyDescent="0.25">
      <c r="L3904" s="1"/>
      <c r="M3904" s="1"/>
    </row>
    <row r="3905" spans="12:13" x14ac:dyDescent="0.25">
      <c r="L3905" s="1"/>
      <c r="M3905" s="1"/>
    </row>
    <row r="3906" spans="12:13" x14ac:dyDescent="0.25">
      <c r="L3906" s="1"/>
      <c r="M3906" s="1"/>
    </row>
    <row r="3907" spans="12:13" x14ac:dyDescent="0.25">
      <c r="L3907" s="1"/>
      <c r="M3907" s="1"/>
    </row>
    <row r="3908" spans="12:13" x14ac:dyDescent="0.25">
      <c r="L3908" s="1"/>
      <c r="M3908" s="1"/>
    </row>
    <row r="3909" spans="12:13" x14ac:dyDescent="0.25">
      <c r="L3909" s="1"/>
      <c r="M3909" s="1"/>
    </row>
    <row r="3910" spans="12:13" x14ac:dyDescent="0.25">
      <c r="L3910" s="1"/>
      <c r="M3910" s="1"/>
    </row>
    <row r="3911" spans="12:13" x14ac:dyDescent="0.25">
      <c r="L3911" s="1"/>
      <c r="M3911" s="1"/>
    </row>
    <row r="3912" spans="12:13" x14ac:dyDescent="0.25">
      <c r="L3912" s="1"/>
      <c r="M3912" s="1"/>
    </row>
    <row r="3913" spans="12:13" x14ac:dyDescent="0.25">
      <c r="L3913" s="1"/>
      <c r="M3913" s="1"/>
    </row>
    <row r="3914" spans="12:13" x14ac:dyDescent="0.25">
      <c r="L3914" s="1"/>
      <c r="M3914" s="1"/>
    </row>
    <row r="3915" spans="12:13" x14ac:dyDescent="0.25">
      <c r="L3915" s="1"/>
      <c r="M3915" s="1"/>
    </row>
    <row r="3916" spans="12:13" x14ac:dyDescent="0.25">
      <c r="L3916" s="1"/>
      <c r="M3916" s="1"/>
    </row>
    <row r="3917" spans="12:13" x14ac:dyDescent="0.25">
      <c r="L3917" s="1"/>
      <c r="M3917" s="1"/>
    </row>
    <row r="3918" spans="12:13" x14ac:dyDescent="0.25">
      <c r="L3918" s="1"/>
      <c r="M3918" s="1"/>
    </row>
    <row r="3919" spans="12:13" x14ac:dyDescent="0.25">
      <c r="L3919" s="1"/>
      <c r="M3919" s="1"/>
    </row>
    <row r="3920" spans="12:13" x14ac:dyDescent="0.25">
      <c r="L3920" s="1"/>
      <c r="M3920" s="1"/>
    </row>
    <row r="3921" spans="12:13" x14ac:dyDescent="0.25">
      <c r="L3921" s="1"/>
      <c r="M3921" s="1"/>
    </row>
    <row r="3922" spans="12:13" x14ac:dyDescent="0.25">
      <c r="L3922" s="1"/>
      <c r="M3922" s="1"/>
    </row>
    <row r="3923" spans="12:13" x14ac:dyDescent="0.25">
      <c r="L3923" s="1"/>
      <c r="M3923" s="1"/>
    </row>
    <row r="3924" spans="12:13" x14ac:dyDescent="0.25">
      <c r="L3924" s="1"/>
      <c r="M3924" s="1"/>
    </row>
    <row r="3925" spans="12:13" x14ac:dyDescent="0.25">
      <c r="L3925" s="1"/>
      <c r="M3925" s="1"/>
    </row>
    <row r="3926" spans="12:13" x14ac:dyDescent="0.25">
      <c r="L3926" s="1"/>
      <c r="M3926" s="1"/>
    </row>
    <row r="3927" spans="12:13" x14ac:dyDescent="0.25">
      <c r="L3927" s="1"/>
      <c r="M3927" s="1"/>
    </row>
    <row r="3928" spans="12:13" x14ac:dyDescent="0.25">
      <c r="L3928" s="1"/>
      <c r="M3928" s="1"/>
    </row>
    <row r="3929" spans="12:13" x14ac:dyDescent="0.25">
      <c r="L3929" s="1"/>
      <c r="M3929" s="1"/>
    </row>
    <row r="3930" spans="12:13" x14ac:dyDescent="0.25">
      <c r="L3930" s="1"/>
      <c r="M3930" s="1"/>
    </row>
    <row r="3931" spans="12:13" x14ac:dyDescent="0.25">
      <c r="L3931" s="1"/>
      <c r="M3931" s="1"/>
    </row>
    <row r="3932" spans="12:13" x14ac:dyDescent="0.25">
      <c r="L3932" s="1"/>
      <c r="M3932" s="1"/>
    </row>
    <row r="3933" spans="12:13" x14ac:dyDescent="0.25">
      <c r="L3933" s="1"/>
      <c r="M3933" s="1"/>
    </row>
    <row r="3934" spans="12:13" x14ac:dyDescent="0.25">
      <c r="L3934" s="1"/>
      <c r="M3934" s="1"/>
    </row>
    <row r="3935" spans="12:13" x14ac:dyDescent="0.25">
      <c r="L3935" s="1"/>
      <c r="M3935" s="1"/>
    </row>
    <row r="3936" spans="12:13" x14ac:dyDescent="0.25">
      <c r="L3936" s="1"/>
      <c r="M3936" s="1"/>
    </row>
    <row r="3937" spans="12:13" x14ac:dyDescent="0.25">
      <c r="L3937" s="1"/>
      <c r="M3937" s="1"/>
    </row>
    <row r="3938" spans="12:13" x14ac:dyDescent="0.25">
      <c r="L3938" s="1"/>
      <c r="M3938" s="1"/>
    </row>
    <row r="3939" spans="12:13" x14ac:dyDescent="0.25">
      <c r="L3939" s="1"/>
      <c r="M3939" s="1"/>
    </row>
    <row r="3940" spans="12:13" x14ac:dyDescent="0.25">
      <c r="L3940" s="1"/>
      <c r="M3940" s="1"/>
    </row>
    <row r="3941" spans="12:13" x14ac:dyDescent="0.25">
      <c r="L3941" s="1"/>
      <c r="M3941" s="1"/>
    </row>
    <row r="3942" spans="12:13" x14ac:dyDescent="0.25">
      <c r="L3942" s="1"/>
      <c r="M3942" s="1"/>
    </row>
    <row r="3943" spans="12:13" x14ac:dyDescent="0.25">
      <c r="L3943" s="1"/>
      <c r="M3943" s="1"/>
    </row>
    <row r="3944" spans="12:13" x14ac:dyDescent="0.25">
      <c r="L3944" s="1"/>
      <c r="M3944" s="1"/>
    </row>
    <row r="3945" spans="12:13" x14ac:dyDescent="0.25">
      <c r="L3945" s="1"/>
      <c r="M3945" s="1"/>
    </row>
    <row r="3946" spans="12:13" x14ac:dyDescent="0.25">
      <c r="L3946" s="1"/>
      <c r="M3946" s="1"/>
    </row>
    <row r="3947" spans="12:13" x14ac:dyDescent="0.25">
      <c r="L3947" s="1"/>
      <c r="M3947" s="1"/>
    </row>
    <row r="3948" spans="12:13" x14ac:dyDescent="0.25">
      <c r="L3948" s="1"/>
      <c r="M3948" s="1"/>
    </row>
    <row r="3949" spans="12:13" x14ac:dyDescent="0.25">
      <c r="L3949" s="1"/>
      <c r="M3949" s="1"/>
    </row>
    <row r="3950" spans="12:13" x14ac:dyDescent="0.25">
      <c r="L3950" s="1"/>
      <c r="M3950" s="1"/>
    </row>
    <row r="3951" spans="12:13" x14ac:dyDescent="0.25">
      <c r="L3951" s="1"/>
      <c r="M3951" s="1"/>
    </row>
    <row r="3952" spans="12:13" x14ac:dyDescent="0.25">
      <c r="L3952" s="1"/>
      <c r="M3952" s="1"/>
    </row>
    <row r="3953" spans="12:13" x14ac:dyDescent="0.25">
      <c r="L3953" s="1"/>
      <c r="M3953" s="1"/>
    </row>
    <row r="3954" spans="12:13" x14ac:dyDescent="0.25">
      <c r="L3954" s="1"/>
      <c r="M3954" s="1"/>
    </row>
    <row r="3955" spans="12:13" x14ac:dyDescent="0.25">
      <c r="L3955" s="1"/>
      <c r="M3955" s="1"/>
    </row>
    <row r="3956" spans="12:13" x14ac:dyDescent="0.25">
      <c r="L3956" s="1"/>
      <c r="M3956" s="1"/>
    </row>
    <row r="3957" spans="12:13" x14ac:dyDescent="0.25">
      <c r="L3957" s="1"/>
      <c r="M3957" s="1"/>
    </row>
    <row r="3958" spans="12:13" x14ac:dyDescent="0.25">
      <c r="L3958" s="1"/>
      <c r="M3958" s="1"/>
    </row>
    <row r="3959" spans="12:13" x14ac:dyDescent="0.25">
      <c r="L3959" s="1"/>
      <c r="M3959" s="1"/>
    </row>
    <row r="3960" spans="12:13" x14ac:dyDescent="0.25">
      <c r="L3960" s="1"/>
      <c r="M3960" s="1"/>
    </row>
    <row r="3961" spans="12:13" x14ac:dyDescent="0.25">
      <c r="L3961" s="1"/>
      <c r="M3961" s="1"/>
    </row>
    <row r="3962" spans="12:13" x14ac:dyDescent="0.25">
      <c r="L3962" s="1"/>
      <c r="M3962" s="1"/>
    </row>
    <row r="3963" spans="12:13" x14ac:dyDescent="0.25">
      <c r="L3963" s="1"/>
      <c r="M3963" s="1"/>
    </row>
    <row r="3964" spans="12:13" x14ac:dyDescent="0.25">
      <c r="L3964" s="1"/>
      <c r="M3964" s="1"/>
    </row>
    <row r="3965" spans="12:13" x14ac:dyDescent="0.25">
      <c r="L3965" s="1"/>
      <c r="M3965" s="1"/>
    </row>
    <row r="3966" spans="12:13" x14ac:dyDescent="0.25">
      <c r="L3966" s="1"/>
      <c r="M3966" s="1"/>
    </row>
    <row r="3967" spans="12:13" x14ac:dyDescent="0.25">
      <c r="L3967" s="1"/>
      <c r="M3967" s="1"/>
    </row>
    <row r="3968" spans="12:13" x14ac:dyDescent="0.25">
      <c r="L3968" s="1"/>
      <c r="M3968" s="1"/>
    </row>
    <row r="3969" spans="12:13" x14ac:dyDescent="0.25">
      <c r="L3969" s="1"/>
      <c r="M3969" s="1"/>
    </row>
    <row r="3970" spans="12:13" x14ac:dyDescent="0.25">
      <c r="L3970" s="1"/>
      <c r="M3970" s="1"/>
    </row>
    <row r="3971" spans="12:13" x14ac:dyDescent="0.25">
      <c r="L3971" s="1"/>
      <c r="M3971" s="1"/>
    </row>
    <row r="3972" spans="12:13" x14ac:dyDescent="0.25">
      <c r="L3972" s="1"/>
      <c r="M3972" s="1"/>
    </row>
    <row r="3973" spans="12:13" x14ac:dyDescent="0.25">
      <c r="L3973" s="1"/>
      <c r="M3973" s="1"/>
    </row>
    <row r="3974" spans="12:13" x14ac:dyDescent="0.25">
      <c r="L3974" s="1"/>
      <c r="M3974" s="1"/>
    </row>
    <row r="3975" spans="12:13" x14ac:dyDescent="0.25">
      <c r="L3975" s="1"/>
      <c r="M3975" s="1"/>
    </row>
    <row r="3976" spans="12:13" x14ac:dyDescent="0.25">
      <c r="L3976" s="1"/>
      <c r="M3976" s="1"/>
    </row>
    <row r="3977" spans="12:13" x14ac:dyDescent="0.25">
      <c r="L3977" s="1"/>
      <c r="M3977" s="1"/>
    </row>
    <row r="3978" spans="12:13" x14ac:dyDescent="0.25">
      <c r="L3978" s="1"/>
      <c r="M3978" s="1"/>
    </row>
    <row r="3979" spans="12:13" x14ac:dyDescent="0.25">
      <c r="L3979" s="1"/>
      <c r="M3979" s="1"/>
    </row>
    <row r="3980" spans="12:13" x14ac:dyDescent="0.25">
      <c r="L3980" s="1"/>
      <c r="M3980" s="1"/>
    </row>
    <row r="3981" spans="12:13" x14ac:dyDescent="0.25">
      <c r="L3981" s="1"/>
      <c r="M3981" s="1"/>
    </row>
    <row r="3982" spans="12:13" x14ac:dyDescent="0.25">
      <c r="L3982" s="1"/>
      <c r="M3982" s="1"/>
    </row>
    <row r="3983" spans="12:13" x14ac:dyDescent="0.25">
      <c r="L3983" s="1"/>
      <c r="M3983" s="1"/>
    </row>
    <row r="3984" spans="12:13" x14ac:dyDescent="0.25">
      <c r="L3984" s="1"/>
      <c r="M3984" s="1"/>
    </row>
    <row r="3985" spans="12:13" x14ac:dyDescent="0.25">
      <c r="L3985" s="1"/>
      <c r="M3985" s="1"/>
    </row>
    <row r="3986" spans="12:13" x14ac:dyDescent="0.25">
      <c r="L3986" s="1"/>
      <c r="M3986" s="1"/>
    </row>
    <row r="3987" spans="12:13" x14ac:dyDescent="0.25">
      <c r="L3987" s="1"/>
      <c r="M3987" s="1"/>
    </row>
    <row r="3988" spans="12:13" x14ac:dyDescent="0.25">
      <c r="L3988" s="1"/>
      <c r="M3988" s="1"/>
    </row>
    <row r="3989" spans="12:13" x14ac:dyDescent="0.25">
      <c r="L3989" s="1"/>
      <c r="M3989" s="1"/>
    </row>
    <row r="3990" spans="12:13" x14ac:dyDescent="0.25">
      <c r="L3990" s="1"/>
      <c r="M3990" s="1"/>
    </row>
    <row r="3991" spans="12:13" x14ac:dyDescent="0.25">
      <c r="L3991" s="1"/>
      <c r="M3991" s="1"/>
    </row>
    <row r="3992" spans="12:13" x14ac:dyDescent="0.25">
      <c r="L3992" s="1"/>
      <c r="M3992" s="1"/>
    </row>
    <row r="3993" spans="12:13" x14ac:dyDescent="0.25">
      <c r="L3993" s="1"/>
      <c r="M3993" s="1"/>
    </row>
    <row r="3994" spans="12:13" x14ac:dyDescent="0.25">
      <c r="L3994" s="1"/>
      <c r="M3994" s="1"/>
    </row>
    <row r="3995" spans="12:13" x14ac:dyDescent="0.25">
      <c r="L3995" s="1"/>
      <c r="M3995" s="1"/>
    </row>
    <row r="3996" spans="12:13" x14ac:dyDescent="0.25">
      <c r="L3996" s="1"/>
      <c r="M3996" s="1"/>
    </row>
    <row r="3997" spans="12:13" x14ac:dyDescent="0.25">
      <c r="L3997" s="1"/>
      <c r="M3997" s="1"/>
    </row>
    <row r="3998" spans="12:13" x14ac:dyDescent="0.25">
      <c r="L3998" s="1"/>
      <c r="M3998" s="1"/>
    </row>
    <row r="3999" spans="12:13" x14ac:dyDescent="0.25">
      <c r="L3999" s="1"/>
      <c r="M3999" s="1"/>
    </row>
    <row r="4000" spans="12:13" x14ac:dyDescent="0.25">
      <c r="L4000" s="1"/>
      <c r="M4000" s="1"/>
    </row>
    <row r="4001" spans="12:13" x14ac:dyDescent="0.25">
      <c r="L4001" s="1"/>
      <c r="M4001" s="1"/>
    </row>
    <row r="4002" spans="12:13" x14ac:dyDescent="0.25">
      <c r="L4002" s="1"/>
      <c r="M4002" s="1"/>
    </row>
    <row r="4003" spans="12:13" x14ac:dyDescent="0.25">
      <c r="L4003" s="1"/>
      <c r="M4003" s="1"/>
    </row>
    <row r="4004" spans="12:13" x14ac:dyDescent="0.25">
      <c r="L4004" s="1"/>
      <c r="M4004" s="1"/>
    </row>
    <row r="4005" spans="12:13" x14ac:dyDescent="0.25">
      <c r="L4005" s="1"/>
      <c r="M4005" s="1"/>
    </row>
    <row r="4006" spans="12:13" x14ac:dyDescent="0.25">
      <c r="L4006" s="1"/>
      <c r="M4006" s="1"/>
    </row>
    <row r="4007" spans="12:13" x14ac:dyDescent="0.25">
      <c r="L4007" s="1"/>
      <c r="M4007" s="1"/>
    </row>
    <row r="4008" spans="12:13" x14ac:dyDescent="0.25">
      <c r="L4008" s="1"/>
      <c r="M4008" s="1"/>
    </row>
    <row r="4009" spans="12:13" x14ac:dyDescent="0.25">
      <c r="L4009" s="1"/>
      <c r="M4009" s="1"/>
    </row>
    <row r="4010" spans="12:13" x14ac:dyDescent="0.25">
      <c r="L4010" s="1"/>
      <c r="M4010" s="1"/>
    </row>
    <row r="4011" spans="12:13" x14ac:dyDescent="0.25">
      <c r="L4011" s="1"/>
      <c r="M4011" s="1"/>
    </row>
    <row r="4012" spans="12:13" x14ac:dyDescent="0.25">
      <c r="L4012" s="1"/>
      <c r="M4012" s="1"/>
    </row>
    <row r="4013" spans="12:13" x14ac:dyDescent="0.25">
      <c r="L4013" s="1"/>
      <c r="M4013" s="1"/>
    </row>
    <row r="4014" spans="12:13" x14ac:dyDescent="0.25">
      <c r="L4014" s="1"/>
      <c r="M4014" s="1"/>
    </row>
    <row r="4015" spans="12:13" x14ac:dyDescent="0.25">
      <c r="L4015" s="1"/>
      <c r="M4015" s="1"/>
    </row>
    <row r="4016" spans="12:13" x14ac:dyDescent="0.25">
      <c r="L4016" s="1"/>
      <c r="M4016" s="1"/>
    </row>
    <row r="4017" spans="12:13" x14ac:dyDescent="0.25">
      <c r="L4017" s="1"/>
      <c r="M4017" s="1"/>
    </row>
    <row r="4018" spans="12:13" x14ac:dyDescent="0.25">
      <c r="L4018" s="1"/>
      <c r="M4018" s="1"/>
    </row>
    <row r="4019" spans="12:13" x14ac:dyDescent="0.25">
      <c r="L4019" s="1"/>
      <c r="M4019" s="1"/>
    </row>
    <row r="4020" spans="12:13" x14ac:dyDescent="0.25">
      <c r="L4020" s="1"/>
      <c r="M4020" s="1"/>
    </row>
    <row r="4021" spans="12:13" x14ac:dyDescent="0.25">
      <c r="L4021" s="1"/>
      <c r="M4021" s="1"/>
    </row>
    <row r="4022" spans="12:13" x14ac:dyDescent="0.25">
      <c r="L4022" s="1"/>
      <c r="M4022" s="1"/>
    </row>
    <row r="4023" spans="12:13" x14ac:dyDescent="0.25">
      <c r="L4023" s="1"/>
      <c r="M4023" s="1"/>
    </row>
    <row r="4024" spans="12:13" x14ac:dyDescent="0.25">
      <c r="L4024" s="1"/>
      <c r="M4024" s="1"/>
    </row>
    <row r="4025" spans="12:13" x14ac:dyDescent="0.25">
      <c r="L4025" s="1"/>
      <c r="M4025" s="1"/>
    </row>
    <row r="4026" spans="12:13" x14ac:dyDescent="0.25">
      <c r="L4026" s="1"/>
      <c r="M4026" s="1"/>
    </row>
    <row r="4027" spans="12:13" x14ac:dyDescent="0.25">
      <c r="L4027" s="1"/>
      <c r="M4027" s="1"/>
    </row>
    <row r="4028" spans="12:13" x14ac:dyDescent="0.25">
      <c r="L4028" s="1"/>
      <c r="M4028" s="1"/>
    </row>
    <row r="4029" spans="12:13" x14ac:dyDescent="0.25">
      <c r="L4029" s="1"/>
      <c r="M4029" s="1"/>
    </row>
    <row r="4030" spans="12:13" x14ac:dyDescent="0.25">
      <c r="L4030" s="1"/>
      <c r="M4030" s="1"/>
    </row>
    <row r="4031" spans="12:13" x14ac:dyDescent="0.25">
      <c r="L4031" s="1"/>
      <c r="M4031" s="1"/>
    </row>
    <row r="4032" spans="12:13" x14ac:dyDescent="0.25">
      <c r="L4032" s="1"/>
      <c r="M4032" s="1"/>
    </row>
    <row r="4033" spans="12:13" x14ac:dyDescent="0.25">
      <c r="L4033" s="1"/>
      <c r="M4033" s="1"/>
    </row>
    <row r="4034" spans="12:13" x14ac:dyDescent="0.25">
      <c r="L4034" s="1"/>
      <c r="M4034" s="1"/>
    </row>
    <row r="4035" spans="12:13" x14ac:dyDescent="0.25">
      <c r="L4035" s="1"/>
      <c r="M4035" s="1"/>
    </row>
    <row r="4036" spans="12:13" x14ac:dyDescent="0.25">
      <c r="L4036" s="1"/>
      <c r="M4036" s="1"/>
    </row>
    <row r="4037" spans="12:13" x14ac:dyDescent="0.25">
      <c r="L4037" s="1"/>
      <c r="M4037" s="1"/>
    </row>
    <row r="4038" spans="12:13" x14ac:dyDescent="0.25">
      <c r="L4038" s="1"/>
      <c r="M4038" s="1"/>
    </row>
    <row r="4039" spans="12:13" x14ac:dyDescent="0.25">
      <c r="L4039" s="1"/>
      <c r="M4039" s="1"/>
    </row>
    <row r="4040" spans="12:13" x14ac:dyDescent="0.25">
      <c r="L4040" s="1"/>
      <c r="M4040" s="1"/>
    </row>
    <row r="4041" spans="12:13" x14ac:dyDescent="0.25">
      <c r="L4041" s="1"/>
      <c r="M4041" s="1"/>
    </row>
    <row r="4042" spans="12:13" x14ac:dyDescent="0.25">
      <c r="L4042" s="1"/>
      <c r="M4042" s="1"/>
    </row>
    <row r="4043" spans="12:13" x14ac:dyDescent="0.25">
      <c r="L4043" s="1"/>
      <c r="M4043" s="1"/>
    </row>
    <row r="4044" spans="12:13" x14ac:dyDescent="0.25">
      <c r="L4044" s="1"/>
      <c r="M4044" s="1"/>
    </row>
    <row r="4045" spans="12:13" x14ac:dyDescent="0.25">
      <c r="L4045" s="1"/>
      <c r="M4045" s="1"/>
    </row>
    <row r="4046" spans="12:13" x14ac:dyDescent="0.25">
      <c r="L4046" s="1"/>
      <c r="M4046" s="1"/>
    </row>
    <row r="4047" spans="12:13" x14ac:dyDescent="0.25">
      <c r="L4047" s="1"/>
      <c r="M4047" s="1"/>
    </row>
    <row r="4048" spans="12:13" x14ac:dyDescent="0.25">
      <c r="L4048" s="1"/>
      <c r="M4048" s="1"/>
    </row>
    <row r="4049" spans="12:13" x14ac:dyDescent="0.25">
      <c r="L4049" s="1"/>
      <c r="M4049" s="1"/>
    </row>
    <row r="4050" spans="12:13" x14ac:dyDescent="0.25">
      <c r="L4050" s="1"/>
      <c r="M4050" s="1"/>
    </row>
    <row r="4051" spans="12:13" x14ac:dyDescent="0.25">
      <c r="L4051" s="1"/>
      <c r="M4051" s="1"/>
    </row>
    <row r="4052" spans="12:13" x14ac:dyDescent="0.25">
      <c r="L4052" s="1"/>
      <c r="M4052" s="1"/>
    </row>
    <row r="4053" spans="12:13" x14ac:dyDescent="0.25">
      <c r="L4053" s="1"/>
      <c r="M4053" s="1"/>
    </row>
    <row r="4054" spans="12:13" x14ac:dyDescent="0.25">
      <c r="L4054" s="1"/>
      <c r="M4054" s="1"/>
    </row>
    <row r="4055" spans="12:13" x14ac:dyDescent="0.25">
      <c r="L4055" s="1"/>
      <c r="M4055" s="1"/>
    </row>
    <row r="4056" spans="12:13" x14ac:dyDescent="0.25">
      <c r="L4056" s="1"/>
      <c r="M4056" s="1"/>
    </row>
    <row r="4057" spans="12:13" x14ac:dyDescent="0.25">
      <c r="L4057" s="1"/>
      <c r="M4057" s="1"/>
    </row>
    <row r="4058" spans="12:13" x14ac:dyDescent="0.25">
      <c r="L4058" s="1"/>
      <c r="M4058" s="1"/>
    </row>
    <row r="4059" spans="12:13" x14ac:dyDescent="0.25">
      <c r="L4059" s="1"/>
      <c r="M4059" s="1"/>
    </row>
    <row r="4060" spans="12:13" x14ac:dyDescent="0.25">
      <c r="L4060" s="1"/>
      <c r="M4060" s="1"/>
    </row>
    <row r="4061" spans="12:13" x14ac:dyDescent="0.25">
      <c r="L4061" s="1"/>
      <c r="M4061" s="1"/>
    </row>
    <row r="4062" spans="12:13" x14ac:dyDescent="0.25">
      <c r="L4062" s="1"/>
      <c r="M4062" s="1"/>
    </row>
    <row r="4063" spans="12:13" x14ac:dyDescent="0.25">
      <c r="L4063" s="1"/>
      <c r="M4063" s="1"/>
    </row>
    <row r="4064" spans="12:13" x14ac:dyDescent="0.25">
      <c r="L4064" s="1"/>
      <c r="M4064" s="1"/>
    </row>
    <row r="4065" spans="12:13" x14ac:dyDescent="0.25">
      <c r="L4065" s="1"/>
      <c r="M4065" s="1"/>
    </row>
    <row r="4066" spans="12:13" x14ac:dyDescent="0.25">
      <c r="L4066" s="1"/>
      <c r="M4066" s="1"/>
    </row>
    <row r="4067" spans="12:13" x14ac:dyDescent="0.25">
      <c r="L4067" s="1"/>
      <c r="M4067" s="1"/>
    </row>
    <row r="4068" spans="12:13" x14ac:dyDescent="0.25">
      <c r="L4068" s="1"/>
      <c r="M4068" s="1"/>
    </row>
    <row r="4069" spans="12:13" x14ac:dyDescent="0.25">
      <c r="L4069" s="1"/>
      <c r="M4069" s="1"/>
    </row>
    <row r="4070" spans="12:13" x14ac:dyDescent="0.25">
      <c r="L4070" s="1"/>
      <c r="M4070" s="1"/>
    </row>
    <row r="4071" spans="12:13" x14ac:dyDescent="0.25">
      <c r="L4071" s="1"/>
      <c r="M4071" s="1"/>
    </row>
    <row r="4072" spans="12:13" x14ac:dyDescent="0.25">
      <c r="L4072" s="1"/>
      <c r="M4072" s="1"/>
    </row>
    <row r="4073" spans="12:13" x14ac:dyDescent="0.25">
      <c r="L4073" s="1"/>
      <c r="M4073" s="1"/>
    </row>
    <row r="4074" spans="12:13" x14ac:dyDescent="0.25">
      <c r="L4074" s="1"/>
      <c r="M4074" s="1"/>
    </row>
    <row r="4075" spans="12:13" x14ac:dyDescent="0.25">
      <c r="L4075" s="1"/>
      <c r="M4075" s="1"/>
    </row>
    <row r="4076" spans="12:13" x14ac:dyDescent="0.25">
      <c r="L4076" s="1"/>
      <c r="M4076" s="1"/>
    </row>
    <row r="4077" spans="12:13" x14ac:dyDescent="0.25">
      <c r="L4077" s="1"/>
      <c r="M4077" s="1"/>
    </row>
    <row r="4078" spans="12:13" x14ac:dyDescent="0.25">
      <c r="L4078" s="1"/>
      <c r="M4078" s="1"/>
    </row>
    <row r="4079" spans="12:13" x14ac:dyDescent="0.25">
      <c r="L4079" s="1"/>
      <c r="M4079" s="1"/>
    </row>
    <row r="4080" spans="12:13" x14ac:dyDescent="0.25">
      <c r="L4080" s="1"/>
      <c r="M4080" s="1"/>
    </row>
    <row r="4081" spans="12:13" x14ac:dyDescent="0.25">
      <c r="L4081" s="1"/>
      <c r="M4081" s="1"/>
    </row>
    <row r="4082" spans="12:13" x14ac:dyDescent="0.25">
      <c r="L4082" s="1"/>
      <c r="M4082" s="1"/>
    </row>
    <row r="4083" spans="12:13" x14ac:dyDescent="0.25">
      <c r="L4083" s="1"/>
      <c r="M4083" s="1"/>
    </row>
    <row r="4084" spans="12:13" x14ac:dyDescent="0.25">
      <c r="L4084" s="1"/>
      <c r="M4084" s="1"/>
    </row>
    <row r="4085" spans="12:13" x14ac:dyDescent="0.25">
      <c r="L4085" s="1"/>
      <c r="M4085" s="1"/>
    </row>
    <row r="4086" spans="12:13" x14ac:dyDescent="0.25">
      <c r="L4086" s="1"/>
      <c r="M4086" s="1"/>
    </row>
    <row r="4087" spans="12:13" x14ac:dyDescent="0.25">
      <c r="L4087" s="1"/>
      <c r="M4087" s="1"/>
    </row>
    <row r="4088" spans="12:13" x14ac:dyDescent="0.25">
      <c r="L4088" s="1"/>
      <c r="M4088" s="1"/>
    </row>
    <row r="4089" spans="12:13" x14ac:dyDescent="0.25">
      <c r="L4089" s="1"/>
      <c r="M4089" s="1"/>
    </row>
    <row r="4090" spans="12:13" x14ac:dyDescent="0.25">
      <c r="L4090" s="1"/>
      <c r="M4090" s="1"/>
    </row>
    <row r="4091" spans="12:13" x14ac:dyDescent="0.25">
      <c r="L4091" s="1"/>
      <c r="M4091" s="1"/>
    </row>
    <row r="4092" spans="12:13" x14ac:dyDescent="0.25">
      <c r="L4092" s="1"/>
      <c r="M4092" s="1"/>
    </row>
    <row r="4093" spans="12:13" x14ac:dyDescent="0.25">
      <c r="L4093" s="1"/>
      <c r="M4093" s="1"/>
    </row>
    <row r="4094" spans="12:13" x14ac:dyDescent="0.25">
      <c r="L4094" s="1"/>
      <c r="M4094" s="1"/>
    </row>
    <row r="4095" spans="12:13" x14ac:dyDescent="0.25">
      <c r="L4095" s="1"/>
      <c r="M4095" s="1"/>
    </row>
    <row r="4096" spans="12:13" x14ac:dyDescent="0.25">
      <c r="L4096" s="1"/>
      <c r="M4096" s="1"/>
    </row>
    <row r="4097" spans="12:13" x14ac:dyDescent="0.25">
      <c r="L4097" s="1"/>
      <c r="M4097" s="1"/>
    </row>
    <row r="4098" spans="12:13" x14ac:dyDescent="0.25">
      <c r="L4098" s="1"/>
      <c r="M4098" s="1"/>
    </row>
    <row r="4099" spans="12:13" x14ac:dyDescent="0.25">
      <c r="L4099" s="1"/>
      <c r="M4099" s="1"/>
    </row>
    <row r="4100" spans="12:13" x14ac:dyDescent="0.25">
      <c r="L4100" s="1"/>
      <c r="M4100" s="1"/>
    </row>
    <row r="4101" spans="12:13" x14ac:dyDescent="0.25">
      <c r="L4101" s="1"/>
      <c r="M4101" s="1"/>
    </row>
    <row r="4102" spans="12:13" x14ac:dyDescent="0.25">
      <c r="L4102" s="1"/>
      <c r="M4102" s="1"/>
    </row>
    <row r="4103" spans="12:13" x14ac:dyDescent="0.25">
      <c r="L4103" s="1"/>
      <c r="M4103" s="1"/>
    </row>
    <row r="4104" spans="12:13" x14ac:dyDescent="0.25">
      <c r="L4104" s="1"/>
      <c r="M4104" s="1"/>
    </row>
    <row r="4105" spans="12:13" x14ac:dyDescent="0.25">
      <c r="L4105" s="1"/>
      <c r="M4105" s="1"/>
    </row>
    <row r="4106" spans="12:13" x14ac:dyDescent="0.25">
      <c r="L4106" s="1"/>
      <c r="M4106" s="1"/>
    </row>
    <row r="4107" spans="12:13" x14ac:dyDescent="0.25">
      <c r="L4107" s="1"/>
      <c r="M4107" s="1"/>
    </row>
    <row r="4108" spans="12:13" x14ac:dyDescent="0.25">
      <c r="L4108" s="1"/>
      <c r="M4108" s="1"/>
    </row>
    <row r="4109" spans="12:13" x14ac:dyDescent="0.25">
      <c r="L4109" s="1"/>
      <c r="M4109" s="1"/>
    </row>
    <row r="4110" spans="12:13" x14ac:dyDescent="0.25">
      <c r="L4110" s="1"/>
      <c r="M4110" s="1"/>
    </row>
    <row r="4111" spans="12:13" x14ac:dyDescent="0.25">
      <c r="L4111" s="1"/>
      <c r="M4111" s="1"/>
    </row>
    <row r="4112" spans="12:13" x14ac:dyDescent="0.25">
      <c r="L4112" s="1"/>
      <c r="M4112" s="1"/>
    </row>
    <row r="4113" spans="12:13" x14ac:dyDescent="0.25">
      <c r="L4113" s="1"/>
      <c r="M4113" s="1"/>
    </row>
    <row r="4114" spans="12:13" x14ac:dyDescent="0.25">
      <c r="L4114" s="1"/>
      <c r="M4114" s="1"/>
    </row>
    <row r="4115" spans="12:13" x14ac:dyDescent="0.25">
      <c r="L4115" s="1"/>
      <c r="M4115" s="1"/>
    </row>
    <row r="4116" spans="12:13" x14ac:dyDescent="0.25">
      <c r="L4116" s="1"/>
      <c r="M4116" s="1"/>
    </row>
    <row r="4117" spans="12:13" x14ac:dyDescent="0.25">
      <c r="L4117" s="1"/>
      <c r="M4117" s="1"/>
    </row>
    <row r="4118" spans="12:13" x14ac:dyDescent="0.25">
      <c r="L4118" s="1"/>
      <c r="M4118" s="1"/>
    </row>
    <row r="4119" spans="12:13" x14ac:dyDescent="0.25">
      <c r="L4119" s="1"/>
      <c r="M4119" s="1"/>
    </row>
    <row r="4120" spans="12:13" x14ac:dyDescent="0.25">
      <c r="L4120" s="1"/>
      <c r="M4120" s="1"/>
    </row>
    <row r="4121" spans="12:13" x14ac:dyDescent="0.25">
      <c r="L4121" s="1"/>
      <c r="M4121" s="1"/>
    </row>
    <row r="4122" spans="12:13" x14ac:dyDescent="0.25">
      <c r="L4122" s="1"/>
      <c r="M4122" s="1"/>
    </row>
    <row r="4123" spans="12:13" x14ac:dyDescent="0.25">
      <c r="L4123" s="1"/>
      <c r="M4123" s="1"/>
    </row>
    <row r="4124" spans="12:13" x14ac:dyDescent="0.25">
      <c r="L4124" s="1"/>
      <c r="M4124" s="1"/>
    </row>
    <row r="4125" spans="12:13" x14ac:dyDescent="0.25">
      <c r="L4125" s="1"/>
      <c r="M4125" s="1"/>
    </row>
    <row r="4126" spans="12:13" x14ac:dyDescent="0.25">
      <c r="L4126" s="1"/>
      <c r="M4126" s="1"/>
    </row>
    <row r="4127" spans="12:13" x14ac:dyDescent="0.25">
      <c r="L4127" s="1"/>
      <c r="M4127" s="1"/>
    </row>
    <row r="4128" spans="12:13" x14ac:dyDescent="0.25">
      <c r="L4128" s="1"/>
      <c r="M4128" s="1"/>
    </row>
    <row r="4129" spans="12:13" x14ac:dyDescent="0.25">
      <c r="L4129" s="1"/>
      <c r="M4129" s="1"/>
    </row>
    <row r="4130" spans="12:13" x14ac:dyDescent="0.25">
      <c r="L4130" s="1"/>
      <c r="M4130" s="1"/>
    </row>
    <row r="4131" spans="12:13" x14ac:dyDescent="0.25">
      <c r="L4131" s="1"/>
      <c r="M4131" s="1"/>
    </row>
    <row r="4132" spans="12:13" x14ac:dyDescent="0.25">
      <c r="L4132" s="1"/>
      <c r="M4132" s="1"/>
    </row>
    <row r="4133" spans="12:13" x14ac:dyDescent="0.25">
      <c r="L4133" s="1"/>
      <c r="M4133" s="1"/>
    </row>
    <row r="4134" spans="12:13" x14ac:dyDescent="0.25">
      <c r="L4134" s="1"/>
      <c r="M4134" s="1"/>
    </row>
    <row r="4135" spans="12:13" x14ac:dyDescent="0.25">
      <c r="L4135" s="1"/>
      <c r="M4135" s="1"/>
    </row>
    <row r="4136" spans="12:13" x14ac:dyDescent="0.25">
      <c r="L4136" s="1"/>
      <c r="M4136" s="1"/>
    </row>
    <row r="4137" spans="12:13" x14ac:dyDescent="0.25">
      <c r="L4137" s="1"/>
      <c r="M4137" s="1"/>
    </row>
    <row r="4138" spans="12:13" x14ac:dyDescent="0.25">
      <c r="L4138" s="1"/>
      <c r="M4138" s="1"/>
    </row>
    <row r="4139" spans="12:13" x14ac:dyDescent="0.25">
      <c r="L4139" s="1"/>
      <c r="M4139" s="1"/>
    </row>
    <row r="4140" spans="12:13" x14ac:dyDescent="0.25">
      <c r="L4140" s="1"/>
      <c r="M4140" s="1"/>
    </row>
    <row r="4141" spans="12:13" x14ac:dyDescent="0.25">
      <c r="L4141" s="1"/>
      <c r="M4141" s="1"/>
    </row>
    <row r="4142" spans="12:13" x14ac:dyDescent="0.25">
      <c r="L4142" s="1"/>
      <c r="M4142" s="1"/>
    </row>
    <row r="4143" spans="12:13" x14ac:dyDescent="0.25">
      <c r="L4143" s="1"/>
      <c r="M4143" s="1"/>
    </row>
    <row r="4144" spans="12:13" x14ac:dyDescent="0.25">
      <c r="L4144" s="1"/>
      <c r="M4144" s="1"/>
    </row>
    <row r="4145" spans="12:13" x14ac:dyDescent="0.25">
      <c r="L4145" s="1"/>
      <c r="M4145" s="1"/>
    </row>
    <row r="4146" spans="12:13" x14ac:dyDescent="0.25">
      <c r="L4146" s="1"/>
      <c r="M4146" s="1"/>
    </row>
    <row r="4147" spans="12:13" x14ac:dyDescent="0.25">
      <c r="L4147" s="1"/>
      <c r="M4147" s="1"/>
    </row>
    <row r="4148" spans="12:13" x14ac:dyDescent="0.25">
      <c r="L4148" s="1"/>
      <c r="M4148" s="1"/>
    </row>
    <row r="4149" spans="12:13" x14ac:dyDescent="0.25">
      <c r="L4149" s="1"/>
      <c r="M4149" s="1"/>
    </row>
    <row r="4150" spans="12:13" x14ac:dyDescent="0.25">
      <c r="L4150" s="1"/>
      <c r="M4150" s="1"/>
    </row>
    <row r="4151" spans="12:13" x14ac:dyDescent="0.25">
      <c r="L4151" s="1"/>
      <c r="M4151" s="1"/>
    </row>
    <row r="4152" spans="12:13" x14ac:dyDescent="0.25">
      <c r="L4152" s="1"/>
      <c r="M4152" s="1"/>
    </row>
    <row r="4153" spans="12:13" x14ac:dyDescent="0.25">
      <c r="L4153" s="1"/>
      <c r="M4153" s="1"/>
    </row>
    <row r="4154" spans="12:13" x14ac:dyDescent="0.25">
      <c r="L4154" s="1"/>
      <c r="M4154" s="1"/>
    </row>
    <row r="4155" spans="12:13" x14ac:dyDescent="0.25">
      <c r="L4155" s="1"/>
      <c r="M4155" s="1"/>
    </row>
    <row r="4156" spans="12:13" x14ac:dyDescent="0.25">
      <c r="L4156" s="1"/>
      <c r="M4156" s="1"/>
    </row>
    <row r="4157" spans="12:13" x14ac:dyDescent="0.25">
      <c r="L4157" s="1"/>
      <c r="M4157" s="1"/>
    </row>
    <row r="4158" spans="12:13" x14ac:dyDescent="0.25">
      <c r="L4158" s="1"/>
      <c r="M4158" s="1"/>
    </row>
    <row r="4159" spans="12:13" x14ac:dyDescent="0.25">
      <c r="L4159" s="1"/>
      <c r="M4159" s="1"/>
    </row>
    <row r="4160" spans="12:13" x14ac:dyDescent="0.25">
      <c r="L4160" s="1"/>
      <c r="M4160" s="1"/>
    </row>
    <row r="4161" spans="12:13" x14ac:dyDescent="0.25">
      <c r="L4161" s="1"/>
      <c r="M4161" s="1"/>
    </row>
    <row r="4162" spans="12:13" x14ac:dyDescent="0.25">
      <c r="L4162" s="1"/>
      <c r="M4162" s="1"/>
    </row>
    <row r="4163" spans="12:13" x14ac:dyDescent="0.25">
      <c r="L4163" s="1"/>
      <c r="M4163" s="1"/>
    </row>
    <row r="4164" spans="12:13" x14ac:dyDescent="0.25">
      <c r="L4164" s="1"/>
      <c r="M4164" s="1"/>
    </row>
    <row r="4165" spans="12:13" x14ac:dyDescent="0.25">
      <c r="L4165" s="1"/>
      <c r="M4165" s="1"/>
    </row>
    <row r="4166" spans="12:13" x14ac:dyDescent="0.25">
      <c r="L4166" s="1"/>
      <c r="M4166" s="1"/>
    </row>
    <row r="4167" spans="12:13" x14ac:dyDescent="0.25">
      <c r="L4167" s="1"/>
      <c r="M4167" s="1"/>
    </row>
    <row r="4168" spans="12:13" x14ac:dyDescent="0.25">
      <c r="L4168" s="1"/>
      <c r="M4168" s="1"/>
    </row>
    <row r="4169" spans="12:13" x14ac:dyDescent="0.25">
      <c r="L4169" s="1"/>
      <c r="M4169" s="1"/>
    </row>
    <row r="4170" spans="12:13" x14ac:dyDescent="0.25">
      <c r="L4170" s="1"/>
      <c r="M4170" s="1"/>
    </row>
    <row r="4171" spans="12:13" x14ac:dyDescent="0.25">
      <c r="L4171" s="1"/>
      <c r="M4171" s="1"/>
    </row>
    <row r="4172" spans="12:13" x14ac:dyDescent="0.25">
      <c r="L4172" s="1"/>
      <c r="M4172" s="1"/>
    </row>
    <row r="4173" spans="12:13" x14ac:dyDescent="0.25">
      <c r="L4173" s="1"/>
      <c r="M4173" s="1"/>
    </row>
    <row r="4174" spans="12:13" x14ac:dyDescent="0.25">
      <c r="L4174" s="1"/>
      <c r="M4174" s="1"/>
    </row>
    <row r="4175" spans="12:13" x14ac:dyDescent="0.25">
      <c r="L4175" s="1"/>
      <c r="M4175" s="1"/>
    </row>
    <row r="4176" spans="12:13" x14ac:dyDescent="0.25">
      <c r="L4176" s="1"/>
      <c r="M4176" s="1"/>
    </row>
    <row r="4177" spans="12:13" x14ac:dyDescent="0.25">
      <c r="L4177" s="1"/>
      <c r="M4177" s="1"/>
    </row>
    <row r="4178" spans="12:13" x14ac:dyDescent="0.25">
      <c r="L4178" s="1"/>
      <c r="M4178" s="1"/>
    </row>
    <row r="4179" spans="12:13" x14ac:dyDescent="0.25">
      <c r="L4179" s="1"/>
      <c r="M4179" s="1"/>
    </row>
    <row r="4180" spans="12:13" x14ac:dyDescent="0.25">
      <c r="L4180" s="1"/>
      <c r="M4180" s="1"/>
    </row>
    <row r="4181" spans="12:13" x14ac:dyDescent="0.25">
      <c r="L4181" s="1"/>
      <c r="M4181" s="1"/>
    </row>
    <row r="4182" spans="12:13" x14ac:dyDescent="0.25">
      <c r="L4182" s="1"/>
      <c r="M4182" s="1"/>
    </row>
    <row r="4183" spans="12:13" x14ac:dyDescent="0.25">
      <c r="L4183" s="1"/>
      <c r="M4183" s="1"/>
    </row>
    <row r="4184" spans="12:13" x14ac:dyDescent="0.25">
      <c r="L4184" s="1"/>
      <c r="M4184" s="1"/>
    </row>
    <row r="4185" spans="12:13" x14ac:dyDescent="0.25">
      <c r="L4185" s="1"/>
      <c r="M4185" s="1"/>
    </row>
    <row r="4186" spans="12:13" x14ac:dyDescent="0.25">
      <c r="L4186" s="1"/>
      <c r="M4186" s="1"/>
    </row>
    <row r="4187" spans="12:13" x14ac:dyDescent="0.25">
      <c r="L4187" s="1"/>
      <c r="M4187" s="1"/>
    </row>
    <row r="4188" spans="12:13" x14ac:dyDescent="0.25">
      <c r="L4188" s="1"/>
      <c r="M4188" s="1"/>
    </row>
    <row r="4189" spans="12:13" x14ac:dyDescent="0.25">
      <c r="L4189" s="1"/>
      <c r="M4189" s="1"/>
    </row>
    <row r="4190" spans="12:13" x14ac:dyDescent="0.25">
      <c r="L4190" s="1"/>
      <c r="M4190" s="1"/>
    </row>
    <row r="4191" spans="12:13" x14ac:dyDescent="0.25">
      <c r="L4191" s="1"/>
      <c r="M4191" s="1"/>
    </row>
    <row r="4192" spans="12:13" x14ac:dyDescent="0.25">
      <c r="L4192" s="1"/>
      <c r="M4192" s="1"/>
    </row>
    <row r="4193" spans="12:13" x14ac:dyDescent="0.25">
      <c r="L4193" s="1"/>
      <c r="M4193" s="1"/>
    </row>
    <row r="4194" spans="12:13" x14ac:dyDescent="0.25">
      <c r="L4194" s="1"/>
      <c r="M4194" s="1"/>
    </row>
    <row r="4195" spans="12:13" x14ac:dyDescent="0.25">
      <c r="L4195" s="1"/>
      <c r="M4195" s="1"/>
    </row>
    <row r="4196" spans="12:13" x14ac:dyDescent="0.25">
      <c r="L4196" s="1"/>
      <c r="M4196" s="1"/>
    </row>
    <row r="4197" spans="12:13" x14ac:dyDescent="0.25">
      <c r="L4197" s="1"/>
      <c r="M4197" s="1"/>
    </row>
    <row r="4198" spans="12:13" x14ac:dyDescent="0.25">
      <c r="L4198" s="1"/>
      <c r="M4198" s="1"/>
    </row>
    <row r="4199" spans="12:13" x14ac:dyDescent="0.25">
      <c r="L4199" s="1"/>
      <c r="M4199" s="1"/>
    </row>
    <row r="4200" spans="12:13" x14ac:dyDescent="0.25">
      <c r="L4200" s="1"/>
      <c r="M4200" s="1"/>
    </row>
    <row r="4201" spans="12:13" x14ac:dyDescent="0.25">
      <c r="L4201" s="1"/>
      <c r="M4201" s="1"/>
    </row>
    <row r="4202" spans="12:13" x14ac:dyDescent="0.25">
      <c r="L4202" s="1"/>
      <c r="M4202" s="1"/>
    </row>
    <row r="4203" spans="12:13" x14ac:dyDescent="0.25">
      <c r="L4203" s="1"/>
      <c r="M4203" s="1"/>
    </row>
    <row r="4204" spans="12:13" x14ac:dyDescent="0.25">
      <c r="L4204" s="1"/>
      <c r="M4204" s="1"/>
    </row>
    <row r="4205" spans="12:13" x14ac:dyDescent="0.25">
      <c r="L4205" s="1"/>
      <c r="M4205" s="1"/>
    </row>
    <row r="4206" spans="12:13" x14ac:dyDescent="0.25">
      <c r="L4206" s="1"/>
      <c r="M4206" s="1"/>
    </row>
    <row r="4207" spans="12:13" x14ac:dyDescent="0.25">
      <c r="L4207" s="1"/>
      <c r="M4207" s="1"/>
    </row>
    <row r="4208" spans="12:13" x14ac:dyDescent="0.25">
      <c r="L4208" s="1"/>
      <c r="M4208" s="1"/>
    </row>
    <row r="4209" spans="12:13" x14ac:dyDescent="0.25">
      <c r="L4209" s="1"/>
      <c r="M4209" s="1"/>
    </row>
    <row r="4210" spans="12:13" x14ac:dyDescent="0.25">
      <c r="L4210" s="1"/>
      <c r="M4210" s="1"/>
    </row>
    <row r="4211" spans="12:13" x14ac:dyDescent="0.25">
      <c r="L4211" s="1"/>
      <c r="M4211" s="1"/>
    </row>
    <row r="4212" spans="12:13" x14ac:dyDescent="0.25">
      <c r="L4212" s="1"/>
      <c r="M4212" s="1"/>
    </row>
    <row r="4213" spans="12:13" x14ac:dyDescent="0.25">
      <c r="L4213" s="1"/>
      <c r="M4213" s="1"/>
    </row>
    <row r="4214" spans="12:13" x14ac:dyDescent="0.25">
      <c r="L4214" s="1"/>
      <c r="M4214" s="1"/>
    </row>
    <row r="4215" spans="12:13" x14ac:dyDescent="0.25">
      <c r="L4215" s="1"/>
      <c r="M4215" s="1"/>
    </row>
    <row r="4216" spans="12:13" x14ac:dyDescent="0.25">
      <c r="L4216" s="1"/>
      <c r="M4216" s="1"/>
    </row>
    <row r="4217" spans="12:13" x14ac:dyDescent="0.25">
      <c r="L4217" s="1"/>
      <c r="M4217" s="1"/>
    </row>
    <row r="4218" spans="12:13" x14ac:dyDescent="0.25">
      <c r="L4218" s="1"/>
      <c r="M4218" s="1"/>
    </row>
    <row r="4219" spans="12:13" x14ac:dyDescent="0.25">
      <c r="L4219" s="1"/>
      <c r="M4219" s="1"/>
    </row>
    <row r="4220" spans="12:13" x14ac:dyDescent="0.25">
      <c r="L4220" s="1"/>
      <c r="M4220" s="1"/>
    </row>
    <row r="4221" spans="12:13" x14ac:dyDescent="0.25">
      <c r="L4221" s="1"/>
      <c r="M4221" s="1"/>
    </row>
    <row r="4222" spans="12:13" x14ac:dyDescent="0.25">
      <c r="L4222" s="1"/>
      <c r="M4222" s="1"/>
    </row>
    <row r="4223" spans="12:13" x14ac:dyDescent="0.25">
      <c r="L4223" s="1"/>
      <c r="M4223" s="1"/>
    </row>
    <row r="4224" spans="12:13" x14ac:dyDescent="0.25">
      <c r="L4224" s="1"/>
      <c r="M4224" s="1"/>
    </row>
    <row r="4225" spans="12:13" x14ac:dyDescent="0.25">
      <c r="L4225" s="1"/>
      <c r="M4225" s="1"/>
    </row>
    <row r="4226" spans="12:13" x14ac:dyDescent="0.25">
      <c r="L4226" s="1"/>
      <c r="M4226" s="1"/>
    </row>
    <row r="4227" spans="12:13" x14ac:dyDescent="0.25">
      <c r="L4227" s="1"/>
      <c r="M4227" s="1"/>
    </row>
    <row r="4228" spans="12:13" x14ac:dyDescent="0.25">
      <c r="L4228" s="1"/>
      <c r="M4228" s="1"/>
    </row>
    <row r="4229" spans="12:13" x14ac:dyDescent="0.25">
      <c r="L4229" s="1"/>
      <c r="M4229" s="1"/>
    </row>
    <row r="4230" spans="12:13" x14ac:dyDescent="0.25">
      <c r="L4230" s="1"/>
      <c r="M4230" s="1"/>
    </row>
    <row r="4231" spans="12:13" x14ac:dyDescent="0.25">
      <c r="L4231" s="1"/>
      <c r="M4231" s="1"/>
    </row>
    <row r="4232" spans="12:13" x14ac:dyDescent="0.25">
      <c r="L4232" s="1"/>
      <c r="M4232" s="1"/>
    </row>
    <row r="4233" spans="12:13" x14ac:dyDescent="0.25">
      <c r="L4233" s="1"/>
      <c r="M4233" s="1"/>
    </row>
    <row r="4234" spans="12:13" x14ac:dyDescent="0.25">
      <c r="L4234" s="1"/>
      <c r="M4234" s="1"/>
    </row>
    <row r="4235" spans="12:13" x14ac:dyDescent="0.25">
      <c r="L4235" s="1"/>
      <c r="M4235" s="1"/>
    </row>
    <row r="4236" spans="12:13" x14ac:dyDescent="0.25">
      <c r="L4236" s="1"/>
      <c r="M4236" s="1"/>
    </row>
    <row r="4237" spans="12:13" x14ac:dyDescent="0.25">
      <c r="L4237" s="1"/>
      <c r="M4237" s="1"/>
    </row>
    <row r="4238" spans="12:13" x14ac:dyDescent="0.25">
      <c r="L4238" s="1"/>
      <c r="M4238" s="1"/>
    </row>
    <row r="4239" spans="12:13" x14ac:dyDescent="0.25">
      <c r="L4239" s="1"/>
      <c r="M4239" s="1"/>
    </row>
    <row r="4240" spans="12:13" x14ac:dyDescent="0.25">
      <c r="L4240" s="1"/>
      <c r="M4240" s="1"/>
    </row>
    <row r="4241" spans="12:13" x14ac:dyDescent="0.25">
      <c r="L4241" s="1"/>
      <c r="M4241" s="1"/>
    </row>
    <row r="4242" spans="12:13" x14ac:dyDescent="0.25">
      <c r="L4242" s="1"/>
      <c r="M4242" s="1"/>
    </row>
    <row r="4243" spans="12:13" x14ac:dyDescent="0.25">
      <c r="L4243" s="1"/>
      <c r="M4243" s="1"/>
    </row>
    <row r="4244" spans="12:13" x14ac:dyDescent="0.25">
      <c r="L4244" s="1"/>
      <c r="M4244" s="1"/>
    </row>
    <row r="4245" spans="12:13" x14ac:dyDescent="0.25">
      <c r="L4245" s="1"/>
      <c r="M4245" s="1"/>
    </row>
    <row r="4246" spans="12:13" x14ac:dyDescent="0.25">
      <c r="L4246" s="1"/>
      <c r="M4246" s="1"/>
    </row>
    <row r="4247" spans="12:13" x14ac:dyDescent="0.25">
      <c r="L4247" s="1"/>
      <c r="M4247" s="1"/>
    </row>
    <row r="4248" spans="12:13" x14ac:dyDescent="0.25">
      <c r="L4248" s="1"/>
      <c r="M4248" s="1"/>
    </row>
    <row r="4249" spans="12:13" x14ac:dyDescent="0.25">
      <c r="L4249" s="1"/>
      <c r="M4249" s="1"/>
    </row>
    <row r="4250" spans="12:13" x14ac:dyDescent="0.25">
      <c r="L4250" s="1"/>
      <c r="M4250" s="1"/>
    </row>
    <row r="4251" spans="12:13" x14ac:dyDescent="0.25">
      <c r="L4251" s="1"/>
      <c r="M4251" s="1"/>
    </row>
    <row r="4252" spans="12:13" x14ac:dyDescent="0.25">
      <c r="L4252" s="1"/>
      <c r="M4252" s="1"/>
    </row>
    <row r="4253" spans="12:13" x14ac:dyDescent="0.25">
      <c r="L4253" s="1"/>
      <c r="M4253" s="1"/>
    </row>
    <row r="4254" spans="12:13" x14ac:dyDescent="0.25">
      <c r="L4254" s="1"/>
      <c r="M4254" s="1"/>
    </row>
    <row r="4255" spans="12:13" x14ac:dyDescent="0.25">
      <c r="L4255" s="1"/>
      <c r="M4255" s="1"/>
    </row>
    <row r="4256" spans="12:13" x14ac:dyDescent="0.25">
      <c r="L4256" s="1"/>
      <c r="M4256" s="1"/>
    </row>
    <row r="4257" spans="12:13" x14ac:dyDescent="0.25">
      <c r="L4257" s="1"/>
      <c r="M4257" s="1"/>
    </row>
    <row r="4258" spans="12:13" x14ac:dyDescent="0.25">
      <c r="L4258" s="1"/>
      <c r="M4258" s="1"/>
    </row>
    <row r="4259" spans="12:13" x14ac:dyDescent="0.25">
      <c r="L4259" s="1"/>
      <c r="M4259" s="1"/>
    </row>
    <row r="4260" spans="12:13" x14ac:dyDescent="0.25">
      <c r="L4260" s="1"/>
      <c r="M4260" s="1"/>
    </row>
    <row r="4261" spans="12:13" x14ac:dyDescent="0.25">
      <c r="L4261" s="1"/>
      <c r="M4261" s="1"/>
    </row>
    <row r="4262" spans="12:13" x14ac:dyDescent="0.25">
      <c r="L4262" s="1"/>
      <c r="M4262" s="1"/>
    </row>
    <row r="4263" spans="12:13" x14ac:dyDescent="0.25">
      <c r="L4263" s="1"/>
      <c r="M4263" s="1"/>
    </row>
    <row r="4264" spans="12:13" x14ac:dyDescent="0.25">
      <c r="L4264" s="1"/>
      <c r="M4264" s="1"/>
    </row>
    <row r="4265" spans="12:13" x14ac:dyDescent="0.25">
      <c r="L4265" s="1"/>
      <c r="M4265" s="1"/>
    </row>
    <row r="4266" spans="12:13" x14ac:dyDescent="0.25">
      <c r="L4266" s="1"/>
      <c r="M4266" s="1"/>
    </row>
    <row r="4267" spans="12:13" x14ac:dyDescent="0.25">
      <c r="L4267" s="1"/>
      <c r="M4267" s="1"/>
    </row>
    <row r="4268" spans="12:13" x14ac:dyDescent="0.25">
      <c r="L4268" s="1"/>
      <c r="M4268" s="1"/>
    </row>
    <row r="4269" spans="12:13" x14ac:dyDescent="0.25">
      <c r="L4269" s="1"/>
      <c r="M4269" s="1"/>
    </row>
    <row r="4270" spans="12:13" x14ac:dyDescent="0.25">
      <c r="L4270" s="1"/>
      <c r="M4270" s="1"/>
    </row>
    <row r="4271" spans="12:13" x14ac:dyDescent="0.25">
      <c r="L4271" s="1"/>
      <c r="M4271" s="1"/>
    </row>
    <row r="4272" spans="12:13" x14ac:dyDescent="0.25">
      <c r="L4272" s="1"/>
      <c r="M4272" s="1"/>
    </row>
    <row r="4273" spans="12:13" x14ac:dyDescent="0.25">
      <c r="L4273" s="1"/>
      <c r="M4273" s="1"/>
    </row>
    <row r="4274" spans="12:13" x14ac:dyDescent="0.25">
      <c r="L4274" s="1"/>
      <c r="M4274" s="1"/>
    </row>
    <row r="4275" spans="12:13" x14ac:dyDescent="0.25">
      <c r="L4275" s="1"/>
      <c r="M4275" s="1"/>
    </row>
    <row r="4276" spans="12:13" x14ac:dyDescent="0.25">
      <c r="L4276" s="1"/>
      <c r="M4276" s="1"/>
    </row>
    <row r="4277" spans="12:13" x14ac:dyDescent="0.25">
      <c r="L4277" s="1"/>
      <c r="M4277" s="1"/>
    </row>
    <row r="4278" spans="12:13" x14ac:dyDescent="0.25">
      <c r="L4278" s="1"/>
      <c r="M4278" s="1"/>
    </row>
    <row r="4279" spans="12:13" x14ac:dyDescent="0.25">
      <c r="L4279" s="1"/>
      <c r="M4279" s="1"/>
    </row>
    <row r="4280" spans="12:13" x14ac:dyDescent="0.25">
      <c r="L4280" s="1"/>
      <c r="M4280" s="1"/>
    </row>
    <row r="4281" spans="12:13" x14ac:dyDescent="0.25">
      <c r="L4281" s="1"/>
      <c r="M4281" s="1"/>
    </row>
    <row r="4282" spans="12:13" x14ac:dyDescent="0.25">
      <c r="L4282" s="1"/>
      <c r="M4282" s="1"/>
    </row>
    <row r="4283" spans="12:13" x14ac:dyDescent="0.25">
      <c r="L4283" s="1"/>
      <c r="M4283" s="1"/>
    </row>
    <row r="4284" spans="12:13" x14ac:dyDescent="0.25">
      <c r="L4284" s="1"/>
      <c r="M4284" s="1"/>
    </row>
    <row r="4285" spans="12:13" x14ac:dyDescent="0.25">
      <c r="L4285" s="1"/>
      <c r="M4285" s="1"/>
    </row>
    <row r="4286" spans="12:13" x14ac:dyDescent="0.25">
      <c r="L4286" s="1"/>
      <c r="M4286" s="1"/>
    </row>
    <row r="4287" spans="12:13" x14ac:dyDescent="0.25">
      <c r="L4287" s="1"/>
      <c r="M4287" s="1"/>
    </row>
    <row r="4288" spans="12:13" x14ac:dyDescent="0.25">
      <c r="L4288" s="1"/>
      <c r="M4288" s="1"/>
    </row>
    <row r="4289" spans="12:13" x14ac:dyDescent="0.25">
      <c r="L4289" s="1"/>
      <c r="M4289" s="1"/>
    </row>
    <row r="4290" spans="12:13" x14ac:dyDescent="0.25">
      <c r="L4290" s="1"/>
      <c r="M4290" s="1"/>
    </row>
    <row r="4291" spans="12:13" x14ac:dyDescent="0.25">
      <c r="L4291" s="1"/>
      <c r="M4291" s="1"/>
    </row>
    <row r="4292" spans="12:13" x14ac:dyDescent="0.25">
      <c r="L4292" s="1"/>
      <c r="M4292" s="1"/>
    </row>
    <row r="4293" spans="12:13" x14ac:dyDescent="0.25">
      <c r="L4293" s="1"/>
      <c r="M4293" s="1"/>
    </row>
    <row r="4294" spans="12:13" x14ac:dyDescent="0.25">
      <c r="L4294" s="1"/>
      <c r="M4294" s="1"/>
    </row>
    <row r="4295" spans="12:13" x14ac:dyDescent="0.25">
      <c r="L4295" s="1"/>
      <c r="M4295" s="1"/>
    </row>
    <row r="4296" spans="12:13" x14ac:dyDescent="0.25">
      <c r="L4296" s="1"/>
      <c r="M4296" s="1"/>
    </row>
    <row r="4297" spans="12:13" x14ac:dyDescent="0.25">
      <c r="L4297" s="1"/>
      <c r="M4297" s="1"/>
    </row>
    <row r="4298" spans="12:13" x14ac:dyDescent="0.25">
      <c r="L4298" s="1"/>
      <c r="M4298" s="1"/>
    </row>
    <row r="4299" spans="12:13" x14ac:dyDescent="0.25">
      <c r="L4299" s="1"/>
      <c r="M4299" s="1"/>
    </row>
    <row r="4300" spans="12:13" x14ac:dyDescent="0.25">
      <c r="L4300" s="1"/>
      <c r="M4300" s="1"/>
    </row>
    <row r="4301" spans="12:13" x14ac:dyDescent="0.25">
      <c r="L4301" s="1"/>
      <c r="M4301" s="1"/>
    </row>
    <row r="4302" spans="12:13" x14ac:dyDescent="0.25">
      <c r="L4302" s="1"/>
      <c r="M4302" s="1"/>
    </row>
    <row r="4303" spans="12:13" x14ac:dyDescent="0.25">
      <c r="L4303" s="1"/>
      <c r="M4303" s="1"/>
    </row>
    <row r="4304" spans="12:13" x14ac:dyDescent="0.25">
      <c r="L4304" s="1"/>
      <c r="M4304" s="1"/>
    </row>
    <row r="4305" spans="12:13" x14ac:dyDescent="0.25">
      <c r="L4305" s="1"/>
      <c r="M4305" s="1"/>
    </row>
    <row r="4306" spans="12:13" x14ac:dyDescent="0.25">
      <c r="L4306" s="1"/>
      <c r="M4306" s="1"/>
    </row>
    <row r="4307" spans="12:13" x14ac:dyDescent="0.25">
      <c r="L4307" s="1"/>
      <c r="M4307" s="1"/>
    </row>
    <row r="4308" spans="12:13" x14ac:dyDescent="0.25">
      <c r="L4308" s="1"/>
      <c r="M4308" s="1"/>
    </row>
    <row r="4309" spans="12:13" x14ac:dyDescent="0.25">
      <c r="L4309" s="1"/>
      <c r="M4309" s="1"/>
    </row>
    <row r="4310" spans="12:13" x14ac:dyDescent="0.25">
      <c r="L4310" s="1"/>
      <c r="M4310" s="1"/>
    </row>
    <row r="4311" spans="12:13" x14ac:dyDescent="0.25">
      <c r="L4311" s="1"/>
      <c r="M4311" s="1"/>
    </row>
    <row r="4312" spans="12:13" x14ac:dyDescent="0.25">
      <c r="L4312" s="1"/>
      <c r="M4312" s="1"/>
    </row>
    <row r="4313" spans="12:13" x14ac:dyDescent="0.25">
      <c r="L4313" s="1"/>
      <c r="M4313" s="1"/>
    </row>
    <row r="4314" spans="12:13" x14ac:dyDescent="0.25">
      <c r="L4314" s="1"/>
      <c r="M4314" s="1"/>
    </row>
    <row r="4315" spans="12:13" x14ac:dyDescent="0.25">
      <c r="L4315" s="1"/>
      <c r="M4315" s="1"/>
    </row>
    <row r="4316" spans="12:13" x14ac:dyDescent="0.25">
      <c r="L4316" s="1"/>
      <c r="M4316" s="1"/>
    </row>
    <row r="4317" spans="12:13" x14ac:dyDescent="0.25">
      <c r="L4317" s="1"/>
      <c r="M4317" s="1"/>
    </row>
    <row r="4318" spans="12:13" x14ac:dyDescent="0.25">
      <c r="L4318" s="1"/>
      <c r="M4318" s="1"/>
    </row>
    <row r="4319" spans="12:13" x14ac:dyDescent="0.25">
      <c r="L4319" s="1"/>
      <c r="M4319" s="1"/>
    </row>
    <row r="4320" spans="12:13" x14ac:dyDescent="0.25">
      <c r="L4320" s="1"/>
      <c r="M4320" s="1"/>
    </row>
    <row r="4321" spans="12:13" x14ac:dyDescent="0.25">
      <c r="L4321" s="1"/>
      <c r="M4321" s="1"/>
    </row>
    <row r="4322" spans="12:13" x14ac:dyDescent="0.25">
      <c r="L4322" s="1"/>
      <c r="M4322" s="1"/>
    </row>
    <row r="4323" spans="12:13" x14ac:dyDescent="0.25">
      <c r="L4323" s="1"/>
      <c r="M4323" s="1"/>
    </row>
    <row r="4324" spans="12:13" x14ac:dyDescent="0.25">
      <c r="L4324" s="1"/>
      <c r="M4324" s="1"/>
    </row>
    <row r="4325" spans="12:13" x14ac:dyDescent="0.25">
      <c r="L4325" s="1"/>
      <c r="M4325" s="1"/>
    </row>
    <row r="4326" spans="12:13" x14ac:dyDescent="0.25">
      <c r="L4326" s="1"/>
      <c r="M4326" s="1"/>
    </row>
    <row r="4327" spans="12:13" x14ac:dyDescent="0.25">
      <c r="L4327" s="1"/>
      <c r="M4327" s="1"/>
    </row>
    <row r="4328" spans="12:13" x14ac:dyDescent="0.25">
      <c r="L4328" s="1"/>
      <c r="M4328" s="1"/>
    </row>
    <row r="4329" spans="12:13" x14ac:dyDescent="0.25">
      <c r="L4329" s="1"/>
      <c r="M4329" s="1"/>
    </row>
    <row r="4330" spans="12:13" x14ac:dyDescent="0.25">
      <c r="L4330" s="1"/>
      <c r="M4330" s="1"/>
    </row>
    <row r="4331" spans="12:13" x14ac:dyDescent="0.25">
      <c r="L4331" s="1"/>
      <c r="M4331" s="1"/>
    </row>
    <row r="4332" spans="12:13" x14ac:dyDescent="0.25">
      <c r="L4332" s="1"/>
      <c r="M4332" s="1"/>
    </row>
    <row r="4333" spans="12:13" x14ac:dyDescent="0.25">
      <c r="L4333" s="1"/>
      <c r="M4333" s="1"/>
    </row>
    <row r="4334" spans="12:13" x14ac:dyDescent="0.25">
      <c r="L4334" s="1"/>
      <c r="M4334" s="1"/>
    </row>
    <row r="4335" spans="12:13" x14ac:dyDescent="0.25">
      <c r="L4335" s="1"/>
      <c r="M4335" s="1"/>
    </row>
    <row r="4336" spans="12:13" x14ac:dyDescent="0.25">
      <c r="L4336" s="1"/>
      <c r="M4336" s="1"/>
    </row>
    <row r="4337" spans="12:13" x14ac:dyDescent="0.25">
      <c r="L4337" s="1"/>
      <c r="M4337" s="1"/>
    </row>
    <row r="4338" spans="12:13" x14ac:dyDescent="0.25">
      <c r="L4338" s="1"/>
      <c r="M4338" s="1"/>
    </row>
    <row r="4339" spans="12:13" x14ac:dyDescent="0.25">
      <c r="L4339" s="1"/>
      <c r="M4339" s="1"/>
    </row>
    <row r="4340" spans="12:13" x14ac:dyDescent="0.25">
      <c r="L4340" s="1"/>
      <c r="M4340" s="1"/>
    </row>
    <row r="4341" spans="12:13" x14ac:dyDescent="0.25">
      <c r="L4341" s="1"/>
      <c r="M4341" s="1"/>
    </row>
    <row r="4342" spans="12:13" x14ac:dyDescent="0.25">
      <c r="L4342" s="1"/>
      <c r="M4342" s="1"/>
    </row>
    <row r="4343" spans="12:13" x14ac:dyDescent="0.25">
      <c r="L4343" s="1"/>
      <c r="M4343" s="1"/>
    </row>
    <row r="4344" spans="12:13" x14ac:dyDescent="0.25">
      <c r="L4344" s="1"/>
      <c r="M4344" s="1"/>
    </row>
    <row r="4345" spans="12:13" x14ac:dyDescent="0.25">
      <c r="L4345" s="1"/>
      <c r="M4345" s="1"/>
    </row>
    <row r="4346" spans="12:13" x14ac:dyDescent="0.25">
      <c r="L4346" s="1"/>
      <c r="M4346" s="1"/>
    </row>
    <row r="4347" spans="12:13" x14ac:dyDescent="0.25">
      <c r="L4347" s="1"/>
      <c r="M4347" s="1"/>
    </row>
    <row r="4348" spans="12:13" x14ac:dyDescent="0.25">
      <c r="L4348" s="1"/>
      <c r="M4348" s="1"/>
    </row>
    <row r="4349" spans="12:13" x14ac:dyDescent="0.25">
      <c r="L4349" s="1"/>
      <c r="M4349" s="1"/>
    </row>
    <row r="4350" spans="12:13" x14ac:dyDescent="0.25">
      <c r="L4350" s="1"/>
      <c r="M4350" s="1"/>
    </row>
    <row r="4351" spans="12:13" x14ac:dyDescent="0.25">
      <c r="L4351" s="1"/>
      <c r="M4351" s="1"/>
    </row>
    <row r="4352" spans="12:13" x14ac:dyDescent="0.25">
      <c r="L4352" s="1"/>
      <c r="M4352" s="1"/>
    </row>
    <row r="4353" spans="12:13" x14ac:dyDescent="0.25">
      <c r="L4353" s="1"/>
      <c r="M4353" s="1"/>
    </row>
    <row r="4354" spans="12:13" x14ac:dyDescent="0.25">
      <c r="L4354" s="1"/>
      <c r="M4354" s="1"/>
    </row>
    <row r="4355" spans="12:13" x14ac:dyDescent="0.25">
      <c r="L4355" s="1"/>
      <c r="M4355" s="1"/>
    </row>
    <row r="4356" spans="12:13" x14ac:dyDescent="0.25">
      <c r="L4356" s="1"/>
      <c r="M4356" s="1"/>
    </row>
    <row r="4357" spans="12:13" x14ac:dyDescent="0.25">
      <c r="L4357" s="1"/>
      <c r="M4357" s="1"/>
    </row>
    <row r="4358" spans="12:13" x14ac:dyDescent="0.25">
      <c r="L4358" s="1"/>
      <c r="M4358" s="1"/>
    </row>
    <row r="4359" spans="12:13" x14ac:dyDescent="0.25">
      <c r="L4359" s="1"/>
      <c r="M4359" s="1"/>
    </row>
    <row r="4360" spans="12:13" x14ac:dyDescent="0.25">
      <c r="L4360" s="1"/>
      <c r="M4360" s="1"/>
    </row>
    <row r="4361" spans="12:13" x14ac:dyDescent="0.25">
      <c r="L4361" s="1"/>
      <c r="M4361" s="1"/>
    </row>
    <row r="4362" spans="12:13" x14ac:dyDescent="0.25">
      <c r="L4362" s="1"/>
      <c r="M4362" s="1"/>
    </row>
    <row r="4363" spans="12:13" x14ac:dyDescent="0.25">
      <c r="L4363" s="1"/>
      <c r="M4363" s="1"/>
    </row>
    <row r="4364" spans="12:13" x14ac:dyDescent="0.25">
      <c r="L4364" s="1"/>
      <c r="M4364" s="1"/>
    </row>
    <row r="4365" spans="12:13" x14ac:dyDescent="0.25">
      <c r="L4365" s="1"/>
      <c r="M4365" s="1"/>
    </row>
    <row r="4366" spans="12:13" x14ac:dyDescent="0.25">
      <c r="L4366" s="1"/>
      <c r="M4366" s="1"/>
    </row>
    <row r="4367" spans="12:13" x14ac:dyDescent="0.25">
      <c r="L4367" s="1"/>
      <c r="M4367" s="1"/>
    </row>
    <row r="4368" spans="12:13" x14ac:dyDescent="0.25">
      <c r="L4368" s="1"/>
      <c r="M4368" s="1"/>
    </row>
    <row r="4369" spans="12:13" x14ac:dyDescent="0.25">
      <c r="L4369" s="1"/>
      <c r="M4369" s="1"/>
    </row>
    <row r="4370" spans="12:13" x14ac:dyDescent="0.25">
      <c r="L4370" s="1"/>
      <c r="M4370" s="1"/>
    </row>
    <row r="4371" spans="12:13" x14ac:dyDescent="0.25">
      <c r="L4371" s="1"/>
      <c r="M4371" s="1"/>
    </row>
    <row r="4372" spans="12:13" x14ac:dyDescent="0.25">
      <c r="L4372" s="1"/>
      <c r="M4372" s="1"/>
    </row>
    <row r="4373" spans="12:13" x14ac:dyDescent="0.25">
      <c r="L4373" s="1"/>
      <c r="M4373" s="1"/>
    </row>
    <row r="4374" spans="12:13" x14ac:dyDescent="0.25">
      <c r="L4374" s="1"/>
      <c r="M4374" s="1"/>
    </row>
    <row r="4375" spans="12:13" x14ac:dyDescent="0.25">
      <c r="L4375" s="1"/>
      <c r="M4375" s="1"/>
    </row>
    <row r="4376" spans="12:13" x14ac:dyDescent="0.25">
      <c r="L4376" s="1"/>
      <c r="M4376" s="1"/>
    </row>
    <row r="4377" spans="12:13" x14ac:dyDescent="0.25">
      <c r="L4377" s="1"/>
      <c r="M4377" s="1"/>
    </row>
    <row r="4378" spans="12:13" x14ac:dyDescent="0.25">
      <c r="L4378" s="1"/>
      <c r="M4378" s="1"/>
    </row>
    <row r="4379" spans="12:13" x14ac:dyDescent="0.25">
      <c r="L4379" s="1"/>
      <c r="M4379" s="1"/>
    </row>
    <row r="4380" spans="12:13" x14ac:dyDescent="0.25">
      <c r="L4380" s="1"/>
      <c r="M4380" s="1"/>
    </row>
    <row r="4381" spans="12:13" x14ac:dyDescent="0.25">
      <c r="L4381" s="1"/>
      <c r="M4381" s="1"/>
    </row>
    <row r="4382" spans="12:13" x14ac:dyDescent="0.25">
      <c r="L4382" s="1"/>
      <c r="M4382" s="1"/>
    </row>
    <row r="4383" spans="12:13" x14ac:dyDescent="0.25">
      <c r="L4383" s="1"/>
      <c r="M4383" s="1"/>
    </row>
    <row r="4384" spans="12:13" x14ac:dyDescent="0.25">
      <c r="L4384" s="1"/>
      <c r="M4384" s="1"/>
    </row>
    <row r="4385" spans="12:13" x14ac:dyDescent="0.25">
      <c r="L4385" s="1"/>
      <c r="M4385" s="1"/>
    </row>
    <row r="4386" spans="12:13" x14ac:dyDescent="0.25">
      <c r="L4386" s="1"/>
      <c r="M4386" s="1"/>
    </row>
    <row r="4387" spans="12:13" x14ac:dyDescent="0.25">
      <c r="L4387" s="1"/>
      <c r="M4387" s="1"/>
    </row>
    <row r="4388" spans="12:13" x14ac:dyDescent="0.25">
      <c r="L4388" s="1"/>
      <c r="M4388" s="1"/>
    </row>
    <row r="4389" spans="12:13" x14ac:dyDescent="0.25">
      <c r="L4389" s="1"/>
      <c r="M4389" s="1"/>
    </row>
    <row r="4390" spans="12:13" x14ac:dyDescent="0.25">
      <c r="L4390" s="1"/>
      <c r="M4390" s="1"/>
    </row>
    <row r="4391" spans="12:13" x14ac:dyDescent="0.25">
      <c r="L4391" s="1"/>
      <c r="M4391" s="1"/>
    </row>
    <row r="4392" spans="12:13" x14ac:dyDescent="0.25">
      <c r="L4392" s="1"/>
      <c r="M4392" s="1"/>
    </row>
    <row r="4393" spans="12:13" x14ac:dyDescent="0.25">
      <c r="L4393" s="1"/>
      <c r="M4393" s="1"/>
    </row>
    <row r="4394" spans="12:13" x14ac:dyDescent="0.25">
      <c r="L4394" s="1"/>
      <c r="M4394" s="1"/>
    </row>
    <row r="4395" spans="12:13" x14ac:dyDescent="0.25">
      <c r="L4395" s="1"/>
      <c r="M4395" s="1"/>
    </row>
    <row r="4396" spans="12:13" x14ac:dyDescent="0.25">
      <c r="L4396" s="1"/>
      <c r="M4396" s="1"/>
    </row>
    <row r="4397" spans="12:13" x14ac:dyDescent="0.25">
      <c r="L4397" s="1"/>
      <c r="M4397" s="1"/>
    </row>
    <row r="4398" spans="12:13" x14ac:dyDescent="0.25">
      <c r="L4398" s="1"/>
      <c r="M4398" s="1"/>
    </row>
    <row r="4399" spans="12:13" x14ac:dyDescent="0.25">
      <c r="L4399" s="1"/>
      <c r="M4399" s="1"/>
    </row>
    <row r="4400" spans="12:13" x14ac:dyDescent="0.25">
      <c r="L4400" s="1"/>
      <c r="M4400" s="1"/>
    </row>
    <row r="4401" spans="12:13" x14ac:dyDescent="0.25">
      <c r="L4401" s="1"/>
      <c r="M4401" s="1"/>
    </row>
    <row r="4402" spans="12:13" x14ac:dyDescent="0.25">
      <c r="L4402" s="1"/>
      <c r="M4402" s="1"/>
    </row>
    <row r="4403" spans="12:13" x14ac:dyDescent="0.25">
      <c r="L4403" s="1"/>
      <c r="M4403" s="1"/>
    </row>
    <row r="4404" spans="12:13" x14ac:dyDescent="0.25">
      <c r="L4404" s="1"/>
      <c r="M4404" s="1"/>
    </row>
    <row r="4405" spans="12:13" x14ac:dyDescent="0.25">
      <c r="L4405" s="1"/>
      <c r="M4405" s="1"/>
    </row>
    <row r="4406" spans="12:13" x14ac:dyDescent="0.25">
      <c r="L4406" s="1"/>
      <c r="M4406" s="1"/>
    </row>
    <row r="4407" spans="12:13" x14ac:dyDescent="0.25">
      <c r="L4407" s="1"/>
      <c r="M4407" s="1"/>
    </row>
    <row r="4408" spans="12:13" x14ac:dyDescent="0.25">
      <c r="L4408" s="1"/>
      <c r="M4408" s="1"/>
    </row>
    <row r="4409" spans="12:13" x14ac:dyDescent="0.25">
      <c r="L4409" s="1"/>
      <c r="M4409" s="1"/>
    </row>
    <row r="4410" spans="12:13" x14ac:dyDescent="0.25">
      <c r="L4410" s="1"/>
      <c r="M4410" s="1"/>
    </row>
    <row r="4411" spans="12:13" x14ac:dyDescent="0.25">
      <c r="L4411" s="1"/>
      <c r="M4411" s="1"/>
    </row>
    <row r="4412" spans="12:13" x14ac:dyDescent="0.25">
      <c r="L4412" s="1"/>
      <c r="M4412" s="1"/>
    </row>
    <row r="4413" spans="12:13" x14ac:dyDescent="0.25">
      <c r="L4413" s="1"/>
      <c r="M4413" s="1"/>
    </row>
    <row r="4414" spans="12:13" x14ac:dyDescent="0.25">
      <c r="L4414" s="1"/>
      <c r="M4414" s="1"/>
    </row>
    <row r="4415" spans="12:13" x14ac:dyDescent="0.25">
      <c r="L4415" s="1"/>
      <c r="M4415" s="1"/>
    </row>
    <row r="4416" spans="12:13" x14ac:dyDescent="0.25">
      <c r="L4416" s="1"/>
      <c r="M4416" s="1"/>
    </row>
    <row r="4417" spans="12:13" x14ac:dyDescent="0.25">
      <c r="L4417" s="1"/>
      <c r="M4417" s="1"/>
    </row>
    <row r="4418" spans="12:13" x14ac:dyDescent="0.25">
      <c r="L4418" s="1"/>
      <c r="M4418" s="1"/>
    </row>
    <row r="4419" spans="12:13" x14ac:dyDescent="0.25">
      <c r="L4419" s="1"/>
      <c r="M4419" s="1"/>
    </row>
    <row r="4420" spans="12:13" x14ac:dyDescent="0.25">
      <c r="L4420" s="1"/>
      <c r="M4420" s="1"/>
    </row>
    <row r="4421" spans="12:13" x14ac:dyDescent="0.25">
      <c r="L4421" s="1"/>
      <c r="M4421" s="1"/>
    </row>
    <row r="4422" spans="12:13" x14ac:dyDescent="0.25">
      <c r="L4422" s="1"/>
      <c r="M4422" s="1"/>
    </row>
    <row r="4423" spans="12:13" x14ac:dyDescent="0.25">
      <c r="L4423" s="1"/>
      <c r="M4423" s="1"/>
    </row>
    <row r="4424" spans="12:13" x14ac:dyDescent="0.25">
      <c r="L4424" s="1"/>
      <c r="M4424" s="1"/>
    </row>
    <row r="4425" spans="12:13" x14ac:dyDescent="0.25">
      <c r="L4425" s="1"/>
      <c r="M4425" s="1"/>
    </row>
    <row r="4426" spans="12:13" x14ac:dyDescent="0.25">
      <c r="L4426" s="1"/>
      <c r="M4426" s="1"/>
    </row>
    <row r="4427" spans="12:13" x14ac:dyDescent="0.25">
      <c r="L4427" s="1"/>
      <c r="M4427" s="1"/>
    </row>
    <row r="4428" spans="12:13" x14ac:dyDescent="0.25">
      <c r="L4428" s="1"/>
      <c r="M4428" s="1"/>
    </row>
    <row r="4429" spans="12:13" x14ac:dyDescent="0.25">
      <c r="L4429" s="1"/>
      <c r="M4429" s="1"/>
    </row>
    <row r="4430" spans="12:13" x14ac:dyDescent="0.25">
      <c r="L4430" s="1"/>
      <c r="M4430" s="1"/>
    </row>
    <row r="4431" spans="12:13" x14ac:dyDescent="0.25">
      <c r="L4431" s="1"/>
      <c r="M4431" s="1"/>
    </row>
    <row r="4432" spans="12:13" x14ac:dyDescent="0.25">
      <c r="L4432" s="1"/>
      <c r="M4432" s="1"/>
    </row>
    <row r="4433" spans="12:13" x14ac:dyDescent="0.25">
      <c r="L4433" s="1"/>
      <c r="M4433" s="1"/>
    </row>
    <row r="4434" spans="12:13" x14ac:dyDescent="0.25">
      <c r="L4434" s="1"/>
      <c r="M4434" s="1"/>
    </row>
    <row r="4435" spans="12:13" x14ac:dyDescent="0.25">
      <c r="L4435" s="1"/>
      <c r="M4435" s="1"/>
    </row>
    <row r="4436" spans="12:13" x14ac:dyDescent="0.25">
      <c r="L4436" s="1"/>
      <c r="M4436" s="1"/>
    </row>
    <row r="4437" spans="12:13" x14ac:dyDescent="0.25">
      <c r="L4437" s="1"/>
      <c r="M4437" s="1"/>
    </row>
    <row r="4438" spans="12:13" x14ac:dyDescent="0.25">
      <c r="L4438" s="1"/>
      <c r="M4438" s="1"/>
    </row>
    <row r="4439" spans="12:13" x14ac:dyDescent="0.25">
      <c r="L4439" s="1"/>
      <c r="M4439" s="1"/>
    </row>
    <row r="4440" spans="12:13" x14ac:dyDescent="0.25">
      <c r="L4440" s="1"/>
      <c r="M4440" s="1"/>
    </row>
    <row r="4441" spans="12:13" x14ac:dyDescent="0.25">
      <c r="L4441" s="1"/>
      <c r="M4441" s="1"/>
    </row>
    <row r="4442" spans="12:13" x14ac:dyDescent="0.25">
      <c r="L4442" s="1"/>
      <c r="M4442" s="1"/>
    </row>
    <row r="4443" spans="12:13" x14ac:dyDescent="0.25">
      <c r="L4443" s="1"/>
      <c r="M4443" s="1"/>
    </row>
    <row r="4444" spans="12:13" x14ac:dyDescent="0.25">
      <c r="L4444" s="1"/>
      <c r="M4444" s="1"/>
    </row>
    <row r="4445" spans="12:13" x14ac:dyDescent="0.25">
      <c r="L4445" s="1"/>
      <c r="M4445" s="1"/>
    </row>
    <row r="4446" spans="12:13" x14ac:dyDescent="0.25">
      <c r="L4446" s="1"/>
      <c r="M4446" s="1"/>
    </row>
    <row r="4447" spans="12:13" x14ac:dyDescent="0.25">
      <c r="L4447" s="1"/>
      <c r="M4447" s="1"/>
    </row>
    <row r="4448" spans="12:13" x14ac:dyDescent="0.25">
      <c r="L4448" s="1"/>
      <c r="M4448" s="1"/>
    </row>
    <row r="4449" spans="12:13" x14ac:dyDescent="0.25">
      <c r="L4449" s="1"/>
      <c r="M4449" s="1"/>
    </row>
    <row r="4450" spans="12:13" x14ac:dyDescent="0.25">
      <c r="L4450" s="1"/>
      <c r="M4450" s="1"/>
    </row>
    <row r="4451" spans="12:13" x14ac:dyDescent="0.25">
      <c r="L4451" s="1"/>
      <c r="M4451" s="1"/>
    </row>
    <row r="4452" spans="12:13" x14ac:dyDescent="0.25">
      <c r="L4452" s="1"/>
      <c r="M4452" s="1"/>
    </row>
    <row r="4453" spans="12:13" x14ac:dyDescent="0.25">
      <c r="L4453" s="1"/>
      <c r="M4453" s="1"/>
    </row>
    <row r="4454" spans="12:13" x14ac:dyDescent="0.25">
      <c r="L4454" s="1"/>
      <c r="M4454" s="1"/>
    </row>
    <row r="4455" spans="12:13" x14ac:dyDescent="0.25">
      <c r="L4455" s="1"/>
      <c r="M4455" s="1"/>
    </row>
    <row r="4456" spans="12:13" x14ac:dyDescent="0.25">
      <c r="L4456" s="1"/>
      <c r="M4456" s="1"/>
    </row>
    <row r="4457" spans="12:13" x14ac:dyDescent="0.25">
      <c r="L4457" s="1"/>
      <c r="M4457" s="1"/>
    </row>
    <row r="4458" spans="12:13" x14ac:dyDescent="0.25">
      <c r="L4458" s="1"/>
      <c r="M4458" s="1"/>
    </row>
    <row r="4459" spans="12:13" x14ac:dyDescent="0.25">
      <c r="L4459" s="1"/>
      <c r="M4459" s="1"/>
    </row>
    <row r="4460" spans="12:13" x14ac:dyDescent="0.25">
      <c r="L4460" s="1"/>
      <c r="M4460" s="1"/>
    </row>
    <row r="4461" spans="12:13" x14ac:dyDescent="0.25">
      <c r="L4461" s="1"/>
      <c r="M4461" s="1"/>
    </row>
    <row r="4462" spans="12:13" x14ac:dyDescent="0.25">
      <c r="L4462" s="1"/>
      <c r="M4462" s="1"/>
    </row>
    <row r="4463" spans="12:13" x14ac:dyDescent="0.25">
      <c r="L4463" s="1"/>
      <c r="M4463" s="1"/>
    </row>
    <row r="4464" spans="12:13" x14ac:dyDescent="0.25">
      <c r="L4464" s="1"/>
      <c r="M4464" s="1"/>
    </row>
    <row r="4465" spans="12:13" x14ac:dyDescent="0.25">
      <c r="L4465" s="1"/>
      <c r="M4465" s="1"/>
    </row>
    <row r="4466" spans="12:13" x14ac:dyDescent="0.25">
      <c r="L4466" s="1"/>
      <c r="M4466" s="1"/>
    </row>
    <row r="4467" spans="12:13" x14ac:dyDescent="0.25">
      <c r="L4467" s="1"/>
      <c r="M4467" s="1"/>
    </row>
    <row r="4468" spans="12:13" x14ac:dyDescent="0.25">
      <c r="L4468" s="1"/>
      <c r="M4468" s="1"/>
    </row>
    <row r="4469" spans="12:13" x14ac:dyDescent="0.25">
      <c r="L4469" s="1"/>
      <c r="M4469" s="1"/>
    </row>
    <row r="4470" spans="12:13" x14ac:dyDescent="0.25">
      <c r="L4470" s="1"/>
      <c r="M4470" s="1"/>
    </row>
    <row r="4471" spans="12:13" x14ac:dyDescent="0.25">
      <c r="L4471" s="1"/>
      <c r="M4471" s="1"/>
    </row>
    <row r="4472" spans="12:13" x14ac:dyDescent="0.25">
      <c r="L4472" s="1"/>
      <c r="M4472" s="1"/>
    </row>
    <row r="4473" spans="12:13" x14ac:dyDescent="0.25">
      <c r="L4473" s="1"/>
      <c r="M4473" s="1"/>
    </row>
    <row r="4474" spans="12:13" x14ac:dyDescent="0.25">
      <c r="L4474" s="1"/>
      <c r="M4474" s="1"/>
    </row>
    <row r="4475" spans="12:13" x14ac:dyDescent="0.25">
      <c r="L4475" s="1"/>
      <c r="M4475" s="1"/>
    </row>
    <row r="4476" spans="12:13" x14ac:dyDescent="0.25">
      <c r="L4476" s="1"/>
      <c r="M4476" s="1"/>
    </row>
    <row r="4477" spans="12:13" x14ac:dyDescent="0.25">
      <c r="L4477" s="1"/>
      <c r="M4477" s="1"/>
    </row>
    <row r="4478" spans="12:13" x14ac:dyDescent="0.25">
      <c r="L4478" s="1"/>
      <c r="M4478" s="1"/>
    </row>
    <row r="4479" spans="12:13" x14ac:dyDescent="0.25">
      <c r="L4479" s="1"/>
      <c r="M4479" s="1"/>
    </row>
    <row r="4480" spans="12:13" x14ac:dyDescent="0.25">
      <c r="L4480" s="1"/>
      <c r="M4480" s="1"/>
    </row>
    <row r="4481" spans="12:13" x14ac:dyDescent="0.25">
      <c r="L4481" s="1"/>
      <c r="M4481" s="1"/>
    </row>
    <row r="4482" spans="12:13" x14ac:dyDescent="0.25">
      <c r="L4482" s="1"/>
      <c r="M4482" s="1"/>
    </row>
    <row r="4483" spans="12:13" x14ac:dyDescent="0.25">
      <c r="L4483" s="1"/>
      <c r="M4483" s="1"/>
    </row>
    <row r="4484" spans="12:13" x14ac:dyDescent="0.25">
      <c r="L4484" s="1"/>
      <c r="M4484" s="1"/>
    </row>
    <row r="4485" spans="12:13" x14ac:dyDescent="0.25">
      <c r="L4485" s="1"/>
      <c r="M4485" s="1"/>
    </row>
    <row r="4486" spans="12:13" x14ac:dyDescent="0.25">
      <c r="L4486" s="1"/>
      <c r="M4486" s="1"/>
    </row>
    <row r="4487" spans="12:13" x14ac:dyDescent="0.25">
      <c r="L4487" s="1"/>
      <c r="M4487" s="1"/>
    </row>
    <row r="4488" spans="12:13" x14ac:dyDescent="0.25">
      <c r="L4488" s="1"/>
      <c r="M4488" s="1"/>
    </row>
    <row r="4489" spans="12:13" x14ac:dyDescent="0.25">
      <c r="L4489" s="1"/>
      <c r="M4489" s="1"/>
    </row>
    <row r="4490" spans="12:13" x14ac:dyDescent="0.25">
      <c r="L4490" s="1"/>
      <c r="M4490" s="1"/>
    </row>
    <row r="4491" spans="12:13" x14ac:dyDescent="0.25">
      <c r="L4491" s="1"/>
      <c r="M4491" s="1"/>
    </row>
    <row r="4492" spans="12:13" x14ac:dyDescent="0.25">
      <c r="L4492" s="1"/>
      <c r="M4492" s="1"/>
    </row>
    <row r="4493" spans="12:13" x14ac:dyDescent="0.25">
      <c r="L4493" s="1"/>
      <c r="M4493" s="1"/>
    </row>
    <row r="4494" spans="12:13" x14ac:dyDescent="0.25">
      <c r="L4494" s="1"/>
      <c r="M4494" s="1"/>
    </row>
    <row r="4495" spans="12:13" x14ac:dyDescent="0.25">
      <c r="L4495" s="1"/>
      <c r="M4495" s="1"/>
    </row>
    <row r="4496" spans="12:13" x14ac:dyDescent="0.25">
      <c r="L4496" s="1"/>
      <c r="M4496" s="1"/>
    </row>
    <row r="4497" spans="12:13" x14ac:dyDescent="0.25">
      <c r="L4497" s="1"/>
      <c r="M4497" s="1"/>
    </row>
    <row r="4498" spans="12:13" x14ac:dyDescent="0.25">
      <c r="L4498" s="1"/>
      <c r="M4498" s="1"/>
    </row>
    <row r="4499" spans="12:13" x14ac:dyDescent="0.25">
      <c r="L4499" s="1"/>
      <c r="M4499" s="1"/>
    </row>
    <row r="4500" spans="12:13" x14ac:dyDescent="0.25">
      <c r="L4500" s="1"/>
      <c r="M4500" s="1"/>
    </row>
    <row r="4501" spans="12:13" x14ac:dyDescent="0.25">
      <c r="L4501" s="1"/>
      <c r="M4501" s="1"/>
    </row>
    <row r="4502" spans="12:13" x14ac:dyDescent="0.25">
      <c r="L4502" s="1"/>
      <c r="M4502" s="1"/>
    </row>
    <row r="4503" spans="12:13" x14ac:dyDescent="0.25">
      <c r="L4503" s="1"/>
      <c r="M4503" s="1"/>
    </row>
    <row r="4504" spans="12:13" x14ac:dyDescent="0.25">
      <c r="L4504" s="1"/>
      <c r="M4504" s="1"/>
    </row>
    <row r="4505" spans="12:13" x14ac:dyDescent="0.25">
      <c r="L4505" s="1"/>
      <c r="M4505" s="1"/>
    </row>
    <row r="4506" spans="12:13" x14ac:dyDescent="0.25">
      <c r="L4506" s="1"/>
      <c r="M4506" s="1"/>
    </row>
    <row r="4507" spans="12:13" x14ac:dyDescent="0.25">
      <c r="L4507" s="1"/>
      <c r="M4507" s="1"/>
    </row>
    <row r="4508" spans="12:13" x14ac:dyDescent="0.25">
      <c r="L4508" s="1"/>
      <c r="M4508" s="1"/>
    </row>
    <row r="4509" spans="12:13" x14ac:dyDescent="0.25">
      <c r="L4509" s="1"/>
      <c r="M4509" s="1"/>
    </row>
    <row r="4510" spans="12:13" x14ac:dyDescent="0.25">
      <c r="L4510" s="1"/>
      <c r="M4510" s="1"/>
    </row>
    <row r="4511" spans="12:13" x14ac:dyDescent="0.25">
      <c r="L4511" s="1"/>
      <c r="M4511" s="1"/>
    </row>
    <row r="4512" spans="12:13" x14ac:dyDescent="0.25">
      <c r="L4512" s="1"/>
      <c r="M4512" s="1"/>
    </row>
    <row r="4513" spans="12:13" x14ac:dyDescent="0.25">
      <c r="L4513" s="1"/>
      <c r="M4513" s="1"/>
    </row>
    <row r="4514" spans="12:13" x14ac:dyDescent="0.25">
      <c r="L4514" s="1"/>
      <c r="M4514" s="1"/>
    </row>
    <row r="4515" spans="12:13" x14ac:dyDescent="0.25">
      <c r="L4515" s="1"/>
      <c r="M4515" s="1"/>
    </row>
    <row r="4516" spans="12:13" x14ac:dyDescent="0.25">
      <c r="L4516" s="1"/>
      <c r="M4516" s="1"/>
    </row>
    <row r="4517" spans="12:13" x14ac:dyDescent="0.25">
      <c r="L4517" s="1"/>
      <c r="M4517" s="1"/>
    </row>
    <row r="4518" spans="12:13" x14ac:dyDescent="0.25">
      <c r="L4518" s="1"/>
      <c r="M4518" s="1"/>
    </row>
    <row r="4519" spans="12:13" x14ac:dyDescent="0.25">
      <c r="L4519" s="1"/>
      <c r="M4519" s="1"/>
    </row>
    <row r="4520" spans="12:13" x14ac:dyDescent="0.25">
      <c r="L4520" s="1"/>
      <c r="M4520" s="1"/>
    </row>
    <row r="4521" spans="12:13" x14ac:dyDescent="0.25">
      <c r="L4521" s="1"/>
      <c r="M4521" s="1"/>
    </row>
    <row r="4522" spans="12:13" x14ac:dyDescent="0.25">
      <c r="L4522" s="1"/>
      <c r="M4522" s="1"/>
    </row>
    <row r="4523" spans="12:13" x14ac:dyDescent="0.25">
      <c r="L4523" s="1"/>
      <c r="M4523" s="1"/>
    </row>
    <row r="4524" spans="12:13" x14ac:dyDescent="0.25">
      <c r="L4524" s="1"/>
      <c r="M4524" s="1"/>
    </row>
    <row r="4525" spans="12:13" x14ac:dyDescent="0.25">
      <c r="L4525" s="1"/>
      <c r="M4525" s="1"/>
    </row>
    <row r="4526" spans="12:13" x14ac:dyDescent="0.25">
      <c r="L4526" s="1"/>
      <c r="M4526" s="1"/>
    </row>
    <row r="4527" spans="12:13" x14ac:dyDescent="0.25">
      <c r="L4527" s="1"/>
      <c r="M4527" s="1"/>
    </row>
    <row r="4528" spans="12:13" x14ac:dyDescent="0.25">
      <c r="L4528" s="1"/>
      <c r="M4528" s="1"/>
    </row>
    <row r="4529" spans="12:13" x14ac:dyDescent="0.25">
      <c r="L4529" s="1"/>
      <c r="M4529" s="1"/>
    </row>
    <row r="4530" spans="12:13" x14ac:dyDescent="0.25">
      <c r="L4530" s="1"/>
      <c r="M4530" s="1"/>
    </row>
    <row r="4531" spans="12:13" x14ac:dyDescent="0.25">
      <c r="L4531" s="1"/>
      <c r="M4531" s="1"/>
    </row>
    <row r="4532" spans="12:13" x14ac:dyDescent="0.25">
      <c r="L4532" s="1"/>
      <c r="M4532" s="1"/>
    </row>
    <row r="4533" spans="12:13" x14ac:dyDescent="0.25">
      <c r="L4533" s="1"/>
      <c r="M4533" s="1"/>
    </row>
    <row r="4534" spans="12:13" x14ac:dyDescent="0.25">
      <c r="L4534" s="1"/>
      <c r="M4534" s="1"/>
    </row>
    <row r="4535" spans="12:13" x14ac:dyDescent="0.25">
      <c r="L4535" s="1"/>
      <c r="M4535" s="1"/>
    </row>
    <row r="4536" spans="12:13" x14ac:dyDescent="0.25">
      <c r="L4536" s="1"/>
      <c r="M4536" s="1"/>
    </row>
    <row r="4537" spans="12:13" x14ac:dyDescent="0.25">
      <c r="L4537" s="1"/>
      <c r="M4537" s="1"/>
    </row>
    <row r="4538" spans="12:13" x14ac:dyDescent="0.25">
      <c r="L4538" s="1"/>
      <c r="M4538" s="1"/>
    </row>
    <row r="4539" spans="12:13" x14ac:dyDescent="0.25">
      <c r="L4539" s="1"/>
      <c r="M4539" s="1"/>
    </row>
    <row r="4540" spans="12:13" x14ac:dyDescent="0.25">
      <c r="L4540" s="1"/>
      <c r="M4540" s="1"/>
    </row>
    <row r="4541" spans="12:13" x14ac:dyDescent="0.25">
      <c r="L4541" s="1"/>
      <c r="M4541" s="1"/>
    </row>
    <row r="4542" spans="12:13" x14ac:dyDescent="0.25">
      <c r="L4542" s="1"/>
      <c r="M4542" s="1"/>
    </row>
    <row r="4543" spans="12:13" x14ac:dyDescent="0.25">
      <c r="L4543" s="1"/>
      <c r="M4543" s="1"/>
    </row>
    <row r="4544" spans="12:13" x14ac:dyDescent="0.25">
      <c r="L4544" s="1"/>
      <c r="M4544" s="1"/>
    </row>
    <row r="4545" spans="12:13" x14ac:dyDescent="0.25">
      <c r="L4545" s="1"/>
      <c r="M4545" s="1"/>
    </row>
    <row r="4546" spans="12:13" x14ac:dyDescent="0.25">
      <c r="L4546" s="1"/>
      <c r="M4546" s="1"/>
    </row>
    <row r="4547" spans="12:13" x14ac:dyDescent="0.25">
      <c r="L4547" s="1"/>
      <c r="M4547" s="1"/>
    </row>
    <row r="4548" spans="12:13" x14ac:dyDescent="0.25">
      <c r="L4548" s="1"/>
      <c r="M4548" s="1"/>
    </row>
    <row r="4549" spans="12:13" x14ac:dyDescent="0.25">
      <c r="L4549" s="1"/>
      <c r="M4549" s="1"/>
    </row>
    <row r="4550" spans="12:13" x14ac:dyDescent="0.25">
      <c r="L4550" s="1"/>
      <c r="M4550" s="1"/>
    </row>
    <row r="4551" spans="12:13" x14ac:dyDescent="0.25">
      <c r="L4551" s="1"/>
      <c r="M4551" s="1"/>
    </row>
    <row r="4552" spans="12:13" x14ac:dyDescent="0.25">
      <c r="L4552" s="1"/>
      <c r="M4552" s="1"/>
    </row>
    <row r="4553" spans="12:13" x14ac:dyDescent="0.25">
      <c r="L4553" s="1"/>
      <c r="M4553" s="1"/>
    </row>
    <row r="4554" spans="12:13" x14ac:dyDescent="0.25">
      <c r="L4554" s="1"/>
      <c r="M4554" s="1"/>
    </row>
    <row r="4555" spans="12:13" x14ac:dyDescent="0.25">
      <c r="L4555" s="1"/>
      <c r="M4555" s="1"/>
    </row>
    <row r="4556" spans="12:13" x14ac:dyDescent="0.25">
      <c r="L4556" s="1"/>
      <c r="M4556" s="1"/>
    </row>
    <row r="4557" spans="12:13" x14ac:dyDescent="0.25">
      <c r="L4557" s="1"/>
      <c r="M4557" s="1"/>
    </row>
    <row r="4558" spans="12:13" x14ac:dyDescent="0.25">
      <c r="L4558" s="1"/>
      <c r="M4558" s="1"/>
    </row>
    <row r="4559" spans="12:13" x14ac:dyDescent="0.25">
      <c r="L4559" s="1"/>
      <c r="M4559" s="1"/>
    </row>
    <row r="4560" spans="12:13" x14ac:dyDescent="0.25">
      <c r="L4560" s="1"/>
      <c r="M4560" s="1"/>
    </row>
    <row r="4561" spans="12:13" x14ac:dyDescent="0.25">
      <c r="L4561" s="1"/>
      <c r="M4561" s="1"/>
    </row>
    <row r="4562" spans="12:13" x14ac:dyDescent="0.25">
      <c r="L4562" s="1"/>
      <c r="M4562" s="1"/>
    </row>
    <row r="4563" spans="12:13" x14ac:dyDescent="0.25">
      <c r="L4563" s="1"/>
      <c r="M4563" s="1"/>
    </row>
    <row r="4564" spans="12:13" x14ac:dyDescent="0.25">
      <c r="L4564" s="1"/>
      <c r="M4564" s="1"/>
    </row>
    <row r="4565" spans="12:13" x14ac:dyDescent="0.25">
      <c r="L4565" s="1"/>
      <c r="M4565" s="1"/>
    </row>
    <row r="4566" spans="12:13" x14ac:dyDescent="0.25">
      <c r="L4566" s="1"/>
      <c r="M4566" s="1"/>
    </row>
    <row r="4567" spans="12:13" x14ac:dyDescent="0.25">
      <c r="L4567" s="1"/>
      <c r="M4567" s="1"/>
    </row>
    <row r="4568" spans="12:13" x14ac:dyDescent="0.25">
      <c r="L4568" s="1"/>
      <c r="M4568" s="1"/>
    </row>
    <row r="4569" spans="12:13" x14ac:dyDescent="0.25">
      <c r="L4569" s="1"/>
      <c r="M4569" s="1"/>
    </row>
    <row r="4570" spans="12:13" x14ac:dyDescent="0.25">
      <c r="L4570" s="1"/>
      <c r="M4570" s="1"/>
    </row>
    <row r="4571" spans="12:13" x14ac:dyDescent="0.25">
      <c r="L4571" s="1"/>
      <c r="M4571" s="1"/>
    </row>
    <row r="4572" spans="12:13" x14ac:dyDescent="0.25">
      <c r="L4572" s="1"/>
      <c r="M4572" s="1"/>
    </row>
    <row r="4573" spans="12:13" x14ac:dyDescent="0.25">
      <c r="L4573" s="1"/>
      <c r="M4573" s="1"/>
    </row>
    <row r="4574" spans="12:13" x14ac:dyDescent="0.25">
      <c r="L4574" s="1"/>
      <c r="M4574" s="1"/>
    </row>
    <row r="4575" spans="12:13" x14ac:dyDescent="0.25">
      <c r="L4575" s="1"/>
      <c r="M4575" s="1"/>
    </row>
    <row r="4576" spans="12:13" x14ac:dyDescent="0.25">
      <c r="L4576" s="1"/>
      <c r="M4576" s="1"/>
    </row>
    <row r="4577" spans="12:13" x14ac:dyDescent="0.25">
      <c r="L4577" s="1"/>
      <c r="M4577" s="1"/>
    </row>
    <row r="4578" spans="12:13" x14ac:dyDescent="0.25">
      <c r="L4578" s="1"/>
      <c r="M4578" s="1"/>
    </row>
    <row r="4579" spans="12:13" x14ac:dyDescent="0.25">
      <c r="L4579" s="1"/>
      <c r="M4579" s="1"/>
    </row>
    <row r="4580" spans="12:13" x14ac:dyDescent="0.25">
      <c r="L4580" s="1"/>
      <c r="M4580" s="1"/>
    </row>
    <row r="4581" spans="12:13" x14ac:dyDescent="0.25">
      <c r="L4581" s="1"/>
      <c r="M4581" s="1"/>
    </row>
    <row r="4582" spans="12:13" x14ac:dyDescent="0.25">
      <c r="L4582" s="1"/>
      <c r="M4582" s="1"/>
    </row>
    <row r="4583" spans="12:13" x14ac:dyDescent="0.25">
      <c r="L4583" s="1"/>
      <c r="M4583" s="1"/>
    </row>
    <row r="4584" spans="12:13" x14ac:dyDescent="0.25">
      <c r="L4584" s="1"/>
      <c r="M4584" s="1"/>
    </row>
    <row r="4585" spans="12:13" x14ac:dyDescent="0.25">
      <c r="L4585" s="1"/>
      <c r="M4585" s="1"/>
    </row>
    <row r="4586" spans="12:13" x14ac:dyDescent="0.25">
      <c r="L4586" s="1"/>
      <c r="M4586" s="1"/>
    </row>
    <row r="4587" spans="12:13" x14ac:dyDescent="0.25">
      <c r="L4587" s="1"/>
      <c r="M4587" s="1"/>
    </row>
    <row r="4588" spans="12:13" x14ac:dyDescent="0.25">
      <c r="L4588" s="1"/>
      <c r="M4588" s="1"/>
    </row>
    <row r="4589" spans="12:13" x14ac:dyDescent="0.25">
      <c r="L4589" s="1"/>
      <c r="M4589" s="1"/>
    </row>
    <row r="4590" spans="12:13" x14ac:dyDescent="0.25">
      <c r="L4590" s="1"/>
      <c r="M4590" s="1"/>
    </row>
    <row r="4591" spans="12:13" x14ac:dyDescent="0.25">
      <c r="L4591" s="1"/>
      <c r="M4591" s="1"/>
    </row>
    <row r="4592" spans="12:13" x14ac:dyDescent="0.25">
      <c r="L4592" s="1"/>
      <c r="M4592" s="1"/>
    </row>
    <row r="4593" spans="12:13" x14ac:dyDescent="0.25">
      <c r="L4593" s="1"/>
      <c r="M4593" s="1"/>
    </row>
    <row r="4594" spans="12:13" x14ac:dyDescent="0.25">
      <c r="L4594" s="1"/>
      <c r="M4594" s="1"/>
    </row>
    <row r="4595" spans="12:13" x14ac:dyDescent="0.25">
      <c r="L4595" s="1"/>
      <c r="M4595" s="1"/>
    </row>
    <row r="4596" spans="12:13" x14ac:dyDescent="0.25">
      <c r="L4596" s="1"/>
      <c r="M4596" s="1"/>
    </row>
    <row r="4597" spans="12:13" x14ac:dyDescent="0.25">
      <c r="L4597" s="1"/>
      <c r="M4597" s="1"/>
    </row>
    <row r="4598" spans="12:13" x14ac:dyDescent="0.25">
      <c r="L4598" s="1"/>
      <c r="M4598" s="1"/>
    </row>
    <row r="4599" spans="12:13" x14ac:dyDescent="0.25">
      <c r="L4599" s="1"/>
      <c r="M4599" s="1"/>
    </row>
    <row r="4600" spans="12:13" x14ac:dyDescent="0.25">
      <c r="L4600" s="1"/>
      <c r="M4600" s="1"/>
    </row>
    <row r="4601" spans="12:13" x14ac:dyDescent="0.25">
      <c r="L4601" s="1"/>
      <c r="M4601" s="1"/>
    </row>
    <row r="4602" spans="12:13" x14ac:dyDescent="0.25">
      <c r="L4602" s="1"/>
      <c r="M4602" s="1"/>
    </row>
    <row r="4603" spans="12:13" x14ac:dyDescent="0.25">
      <c r="L4603" s="1"/>
      <c r="M4603" s="1"/>
    </row>
    <row r="4604" spans="12:13" x14ac:dyDescent="0.25">
      <c r="L4604" s="1"/>
      <c r="M4604" s="1"/>
    </row>
    <row r="4605" spans="12:13" x14ac:dyDescent="0.25">
      <c r="L4605" s="1"/>
      <c r="M4605" s="1"/>
    </row>
    <row r="4606" spans="12:13" x14ac:dyDescent="0.25">
      <c r="L4606" s="1"/>
      <c r="M4606" s="1"/>
    </row>
    <row r="4607" spans="12:13" x14ac:dyDescent="0.25">
      <c r="L4607" s="1"/>
      <c r="M4607" s="1"/>
    </row>
    <row r="4608" spans="12:13" x14ac:dyDescent="0.25">
      <c r="L4608" s="1"/>
      <c r="M4608" s="1"/>
    </row>
    <row r="4609" spans="12:13" x14ac:dyDescent="0.25">
      <c r="L4609" s="1"/>
      <c r="M4609" s="1"/>
    </row>
    <row r="4610" spans="12:13" x14ac:dyDescent="0.25">
      <c r="L4610" s="1"/>
      <c r="M4610" s="1"/>
    </row>
    <row r="4611" spans="12:13" x14ac:dyDescent="0.25">
      <c r="L4611" s="1"/>
      <c r="M4611" s="1"/>
    </row>
    <row r="4612" spans="12:13" x14ac:dyDescent="0.25">
      <c r="L4612" s="1"/>
      <c r="M4612" s="1"/>
    </row>
    <row r="4613" spans="12:13" x14ac:dyDescent="0.25">
      <c r="L4613" s="1"/>
      <c r="M4613" s="1"/>
    </row>
    <row r="4614" spans="12:13" x14ac:dyDescent="0.25">
      <c r="L4614" s="1"/>
      <c r="M4614" s="1"/>
    </row>
    <row r="4615" spans="12:13" x14ac:dyDescent="0.25">
      <c r="L4615" s="1"/>
      <c r="M4615" s="1"/>
    </row>
    <row r="4616" spans="12:13" x14ac:dyDescent="0.25">
      <c r="L4616" s="1"/>
      <c r="M4616" s="1"/>
    </row>
    <row r="4617" spans="12:13" x14ac:dyDescent="0.25">
      <c r="L4617" s="1"/>
      <c r="M4617" s="1"/>
    </row>
    <row r="4618" spans="12:13" x14ac:dyDescent="0.25">
      <c r="L4618" s="1"/>
      <c r="M4618" s="1"/>
    </row>
    <row r="4619" spans="12:13" x14ac:dyDescent="0.25">
      <c r="L4619" s="1"/>
      <c r="M4619" s="1"/>
    </row>
    <row r="4620" spans="12:13" x14ac:dyDescent="0.25">
      <c r="L4620" s="1"/>
      <c r="M4620" s="1"/>
    </row>
    <row r="4621" spans="12:13" x14ac:dyDescent="0.25">
      <c r="L4621" s="1"/>
      <c r="M4621" s="1"/>
    </row>
    <row r="4622" spans="12:13" x14ac:dyDescent="0.25">
      <c r="L4622" s="1"/>
      <c r="M4622" s="1"/>
    </row>
    <row r="4623" spans="12:13" x14ac:dyDescent="0.25">
      <c r="L4623" s="1"/>
      <c r="M4623" s="1"/>
    </row>
    <row r="4624" spans="12:13" x14ac:dyDescent="0.25">
      <c r="L4624" s="1"/>
      <c r="M4624" s="1"/>
    </row>
    <row r="4625" spans="12:13" x14ac:dyDescent="0.25">
      <c r="L4625" s="1"/>
      <c r="M4625" s="1"/>
    </row>
    <row r="4626" spans="12:13" x14ac:dyDescent="0.25">
      <c r="L4626" s="1"/>
      <c r="M4626" s="1"/>
    </row>
    <row r="4627" spans="12:13" x14ac:dyDescent="0.25">
      <c r="L4627" s="1"/>
      <c r="M4627" s="1"/>
    </row>
    <row r="4628" spans="12:13" x14ac:dyDescent="0.25">
      <c r="L4628" s="1"/>
      <c r="M4628" s="1"/>
    </row>
    <row r="4629" spans="12:13" x14ac:dyDescent="0.25">
      <c r="L4629" s="1"/>
      <c r="M4629" s="1"/>
    </row>
    <row r="4630" spans="12:13" x14ac:dyDescent="0.25">
      <c r="L4630" s="1"/>
      <c r="M4630" s="1"/>
    </row>
    <row r="4631" spans="12:13" x14ac:dyDescent="0.25">
      <c r="L4631" s="1"/>
      <c r="M4631" s="1"/>
    </row>
    <row r="4632" spans="12:13" x14ac:dyDescent="0.25">
      <c r="L4632" s="1"/>
      <c r="M4632" s="1"/>
    </row>
    <row r="4633" spans="12:13" x14ac:dyDescent="0.25">
      <c r="L4633" s="1"/>
      <c r="M4633" s="1"/>
    </row>
    <row r="4634" spans="12:13" x14ac:dyDescent="0.25">
      <c r="L4634" s="1"/>
      <c r="M4634" s="1"/>
    </row>
    <row r="4635" spans="12:13" x14ac:dyDescent="0.25">
      <c r="L4635" s="1"/>
      <c r="M4635" s="1"/>
    </row>
    <row r="4636" spans="12:13" x14ac:dyDescent="0.25">
      <c r="L4636" s="1"/>
      <c r="M4636" s="1"/>
    </row>
    <row r="4637" spans="12:13" x14ac:dyDescent="0.25">
      <c r="L4637" s="1"/>
      <c r="M4637" s="1"/>
    </row>
    <row r="4638" spans="12:13" x14ac:dyDescent="0.25">
      <c r="L4638" s="1"/>
      <c r="M4638" s="1"/>
    </row>
    <row r="4639" spans="12:13" x14ac:dyDescent="0.25">
      <c r="L4639" s="1"/>
      <c r="M4639" s="1"/>
    </row>
    <row r="4640" spans="12:13" x14ac:dyDescent="0.25">
      <c r="L4640" s="1"/>
      <c r="M4640" s="1"/>
    </row>
    <row r="4641" spans="12:13" x14ac:dyDescent="0.25">
      <c r="L4641" s="1"/>
      <c r="M4641" s="1"/>
    </row>
    <row r="4642" spans="12:13" x14ac:dyDescent="0.25">
      <c r="L4642" s="1"/>
      <c r="M4642" s="1"/>
    </row>
    <row r="4643" spans="12:13" x14ac:dyDescent="0.25">
      <c r="L4643" s="1"/>
      <c r="M4643" s="1"/>
    </row>
    <row r="4644" spans="12:13" x14ac:dyDescent="0.25">
      <c r="L4644" s="1"/>
      <c r="M4644" s="1"/>
    </row>
    <row r="4645" spans="12:13" x14ac:dyDescent="0.25">
      <c r="L4645" s="1"/>
      <c r="M4645" s="1"/>
    </row>
    <row r="4646" spans="12:13" x14ac:dyDescent="0.25">
      <c r="L4646" s="1"/>
      <c r="M4646" s="1"/>
    </row>
    <row r="4647" spans="12:13" x14ac:dyDescent="0.25">
      <c r="L4647" s="1"/>
      <c r="M4647" s="1"/>
    </row>
    <row r="4648" spans="12:13" x14ac:dyDescent="0.25">
      <c r="L4648" s="1"/>
      <c r="M4648" s="1"/>
    </row>
    <row r="4649" spans="12:13" x14ac:dyDescent="0.25">
      <c r="L4649" s="1"/>
      <c r="M4649" s="1"/>
    </row>
    <row r="4650" spans="12:13" x14ac:dyDescent="0.25">
      <c r="L4650" s="1"/>
      <c r="M4650" s="1"/>
    </row>
    <row r="4651" spans="12:13" x14ac:dyDescent="0.25">
      <c r="L4651" s="1"/>
      <c r="M4651" s="1"/>
    </row>
    <row r="4652" spans="12:13" x14ac:dyDescent="0.25">
      <c r="L4652" s="1"/>
      <c r="M4652" s="1"/>
    </row>
    <row r="4653" spans="12:13" x14ac:dyDescent="0.25">
      <c r="L4653" s="1"/>
      <c r="M4653" s="1"/>
    </row>
    <row r="4654" spans="12:13" x14ac:dyDescent="0.25">
      <c r="L4654" s="1"/>
      <c r="M4654" s="1"/>
    </row>
    <row r="4655" spans="12:13" x14ac:dyDescent="0.25">
      <c r="L4655" s="1"/>
      <c r="M4655" s="1"/>
    </row>
    <row r="4656" spans="12:13" x14ac:dyDescent="0.25">
      <c r="L4656" s="1"/>
      <c r="M4656" s="1"/>
    </row>
    <row r="4657" spans="12:13" x14ac:dyDescent="0.25">
      <c r="L4657" s="1"/>
      <c r="M4657" s="1"/>
    </row>
    <row r="4658" spans="12:13" x14ac:dyDescent="0.25">
      <c r="L4658" s="1"/>
      <c r="M4658" s="1"/>
    </row>
    <row r="4659" spans="12:13" x14ac:dyDescent="0.25">
      <c r="L4659" s="1"/>
      <c r="M4659" s="1"/>
    </row>
    <row r="4660" spans="12:13" x14ac:dyDescent="0.25">
      <c r="L4660" s="1"/>
      <c r="M4660" s="1"/>
    </row>
    <row r="4661" spans="12:13" x14ac:dyDescent="0.25">
      <c r="L4661" s="1"/>
      <c r="M4661" s="1"/>
    </row>
    <row r="4662" spans="12:13" x14ac:dyDescent="0.25">
      <c r="L4662" s="1"/>
      <c r="M4662" s="1"/>
    </row>
    <row r="4663" spans="12:13" x14ac:dyDescent="0.25">
      <c r="L4663" s="1"/>
      <c r="M4663" s="1"/>
    </row>
    <row r="4664" spans="12:13" x14ac:dyDescent="0.25">
      <c r="L4664" s="1"/>
      <c r="M4664" s="1"/>
    </row>
    <row r="4665" spans="12:13" x14ac:dyDescent="0.25">
      <c r="L4665" s="1"/>
      <c r="M4665" s="1"/>
    </row>
    <row r="4666" spans="12:13" x14ac:dyDescent="0.25">
      <c r="L4666" s="1"/>
      <c r="M4666" s="1"/>
    </row>
    <row r="4667" spans="12:13" x14ac:dyDescent="0.25">
      <c r="L4667" s="1"/>
      <c r="M4667" s="1"/>
    </row>
    <row r="4668" spans="12:13" x14ac:dyDescent="0.25">
      <c r="L4668" s="1"/>
      <c r="M4668" s="1"/>
    </row>
    <row r="4669" spans="12:13" x14ac:dyDescent="0.25">
      <c r="L4669" s="1"/>
      <c r="M4669" s="1"/>
    </row>
    <row r="4670" spans="12:13" x14ac:dyDescent="0.25">
      <c r="L4670" s="1"/>
      <c r="M4670" s="1"/>
    </row>
    <row r="4671" spans="12:13" x14ac:dyDescent="0.25">
      <c r="L4671" s="1"/>
      <c r="M4671" s="1"/>
    </row>
    <row r="4672" spans="12:13" x14ac:dyDescent="0.25">
      <c r="L4672" s="1"/>
      <c r="M4672" s="1"/>
    </row>
    <row r="4673" spans="12:13" x14ac:dyDescent="0.25">
      <c r="L4673" s="1"/>
      <c r="M4673" s="1"/>
    </row>
    <row r="4674" spans="12:13" x14ac:dyDescent="0.25">
      <c r="L4674" s="1"/>
      <c r="M4674" s="1"/>
    </row>
    <row r="4675" spans="12:13" x14ac:dyDescent="0.25">
      <c r="L4675" s="1"/>
      <c r="M4675" s="1"/>
    </row>
    <row r="4676" spans="12:13" x14ac:dyDescent="0.25">
      <c r="L4676" s="1"/>
      <c r="M4676" s="1"/>
    </row>
    <row r="4677" spans="12:13" x14ac:dyDescent="0.25">
      <c r="L4677" s="1"/>
      <c r="M4677" s="1"/>
    </row>
    <row r="4678" spans="12:13" x14ac:dyDescent="0.25">
      <c r="L4678" s="1"/>
      <c r="M4678" s="1"/>
    </row>
    <row r="4679" spans="12:13" x14ac:dyDescent="0.25">
      <c r="L4679" s="1"/>
      <c r="M4679" s="1"/>
    </row>
    <row r="4680" spans="12:13" x14ac:dyDescent="0.25">
      <c r="L4680" s="1"/>
      <c r="M4680" s="1"/>
    </row>
    <row r="4681" spans="12:13" x14ac:dyDescent="0.25">
      <c r="L4681" s="1"/>
      <c r="M4681" s="1"/>
    </row>
    <row r="4682" spans="12:13" x14ac:dyDescent="0.25">
      <c r="L4682" s="1"/>
      <c r="M4682" s="1"/>
    </row>
    <row r="4683" spans="12:13" x14ac:dyDescent="0.25">
      <c r="L4683" s="1"/>
      <c r="M4683" s="1"/>
    </row>
    <row r="4684" spans="12:13" x14ac:dyDescent="0.25">
      <c r="L4684" s="1"/>
      <c r="M4684" s="1"/>
    </row>
    <row r="4685" spans="12:13" x14ac:dyDescent="0.25">
      <c r="L4685" s="1"/>
      <c r="M4685" s="1"/>
    </row>
    <row r="4686" spans="12:13" x14ac:dyDescent="0.25">
      <c r="L4686" s="1"/>
      <c r="M4686" s="1"/>
    </row>
    <row r="4687" spans="12:13" x14ac:dyDescent="0.25">
      <c r="L4687" s="1"/>
      <c r="M4687" s="1"/>
    </row>
    <row r="4688" spans="12:13" x14ac:dyDescent="0.25">
      <c r="L4688" s="1"/>
      <c r="M4688" s="1"/>
    </row>
    <row r="4689" spans="12:13" x14ac:dyDescent="0.25">
      <c r="L4689" s="1"/>
      <c r="M4689" s="1"/>
    </row>
    <row r="4690" spans="12:13" x14ac:dyDescent="0.25">
      <c r="L4690" s="1"/>
      <c r="M4690" s="1"/>
    </row>
    <row r="4691" spans="12:13" x14ac:dyDescent="0.25">
      <c r="L4691" s="1"/>
      <c r="M4691" s="1"/>
    </row>
    <row r="4692" spans="12:13" x14ac:dyDescent="0.25">
      <c r="L4692" s="1"/>
      <c r="M4692" s="1"/>
    </row>
    <row r="4693" spans="12:13" x14ac:dyDescent="0.25">
      <c r="L4693" s="1"/>
      <c r="M4693" s="1"/>
    </row>
    <row r="4694" spans="12:13" x14ac:dyDescent="0.25">
      <c r="L4694" s="1"/>
      <c r="M4694" s="1"/>
    </row>
    <row r="4695" spans="12:13" x14ac:dyDescent="0.25">
      <c r="L4695" s="1"/>
      <c r="M4695" s="1"/>
    </row>
    <row r="4696" spans="12:13" x14ac:dyDescent="0.25">
      <c r="L4696" s="1"/>
      <c r="M4696" s="1"/>
    </row>
    <row r="4697" spans="12:13" x14ac:dyDescent="0.25">
      <c r="L4697" s="1"/>
      <c r="M4697" s="1"/>
    </row>
    <row r="4698" spans="12:13" x14ac:dyDescent="0.25">
      <c r="L4698" s="1"/>
      <c r="M4698" s="1"/>
    </row>
    <row r="4699" spans="12:13" x14ac:dyDescent="0.25">
      <c r="L4699" s="1"/>
      <c r="M4699" s="1"/>
    </row>
    <row r="4700" spans="12:13" x14ac:dyDescent="0.25">
      <c r="L4700" s="1"/>
      <c r="M4700" s="1"/>
    </row>
    <row r="4701" spans="12:13" x14ac:dyDescent="0.25">
      <c r="L4701" s="1"/>
      <c r="M4701" s="1"/>
    </row>
    <row r="4702" spans="12:13" x14ac:dyDescent="0.25">
      <c r="L4702" s="1"/>
      <c r="M4702" s="1"/>
    </row>
    <row r="4703" spans="12:13" x14ac:dyDescent="0.25">
      <c r="L4703" s="1"/>
      <c r="M4703" s="1"/>
    </row>
    <row r="4704" spans="12:13" x14ac:dyDescent="0.25">
      <c r="L4704" s="1"/>
      <c r="M4704" s="1"/>
    </row>
    <row r="4705" spans="12:13" x14ac:dyDescent="0.25">
      <c r="L4705" s="1"/>
      <c r="M4705" s="1"/>
    </row>
    <row r="4706" spans="12:13" x14ac:dyDescent="0.25">
      <c r="L4706" s="1"/>
      <c r="M4706" s="1"/>
    </row>
    <row r="4707" spans="12:13" x14ac:dyDescent="0.25">
      <c r="L4707" s="1"/>
      <c r="M4707" s="1"/>
    </row>
    <row r="4708" spans="12:13" x14ac:dyDescent="0.25">
      <c r="L4708" s="1"/>
      <c r="M4708" s="1"/>
    </row>
    <row r="4709" spans="12:13" x14ac:dyDescent="0.25">
      <c r="L4709" s="1"/>
      <c r="M4709" s="1"/>
    </row>
    <row r="4710" spans="12:13" x14ac:dyDescent="0.25">
      <c r="L4710" s="1"/>
      <c r="M4710" s="1"/>
    </row>
    <row r="4711" spans="12:13" x14ac:dyDescent="0.25">
      <c r="L4711" s="1"/>
      <c r="M4711" s="1"/>
    </row>
    <row r="4712" spans="12:13" x14ac:dyDescent="0.25">
      <c r="L4712" s="1"/>
      <c r="M4712" s="1"/>
    </row>
    <row r="4713" spans="12:13" x14ac:dyDescent="0.25">
      <c r="L4713" s="1"/>
      <c r="M4713" s="1"/>
    </row>
    <row r="4714" spans="12:13" x14ac:dyDescent="0.25">
      <c r="L4714" s="1"/>
      <c r="M4714" s="1"/>
    </row>
    <row r="4715" spans="12:13" x14ac:dyDescent="0.25">
      <c r="L4715" s="1"/>
      <c r="M4715" s="1"/>
    </row>
    <row r="4716" spans="12:13" x14ac:dyDescent="0.25">
      <c r="L4716" s="1"/>
      <c r="M4716" s="1"/>
    </row>
    <row r="4717" spans="12:13" x14ac:dyDescent="0.25">
      <c r="L4717" s="1"/>
      <c r="M4717" s="1"/>
    </row>
    <row r="4718" spans="12:13" x14ac:dyDescent="0.25">
      <c r="L4718" s="1"/>
      <c r="M4718" s="1"/>
    </row>
    <row r="4719" spans="12:13" x14ac:dyDescent="0.25">
      <c r="L4719" s="1"/>
      <c r="M4719" s="1"/>
    </row>
    <row r="4720" spans="12:13" x14ac:dyDescent="0.25">
      <c r="L4720" s="1"/>
      <c r="M4720" s="1"/>
    </row>
    <row r="4721" spans="12:13" x14ac:dyDescent="0.25">
      <c r="L4721" s="1"/>
      <c r="M4721" s="1"/>
    </row>
    <row r="4722" spans="12:13" x14ac:dyDescent="0.25">
      <c r="L4722" s="1"/>
      <c r="M4722" s="1"/>
    </row>
    <row r="4723" spans="12:13" x14ac:dyDescent="0.25">
      <c r="L4723" s="1"/>
      <c r="M4723" s="1"/>
    </row>
    <row r="4724" spans="12:13" x14ac:dyDescent="0.25">
      <c r="L4724" s="1"/>
      <c r="M4724" s="1"/>
    </row>
    <row r="4725" spans="12:13" x14ac:dyDescent="0.25">
      <c r="L4725" s="1"/>
      <c r="M4725" s="1"/>
    </row>
    <row r="4726" spans="12:13" x14ac:dyDescent="0.25">
      <c r="L4726" s="1"/>
      <c r="M4726" s="1"/>
    </row>
    <row r="4727" spans="12:13" x14ac:dyDescent="0.25">
      <c r="L4727" s="1"/>
      <c r="M4727" s="1"/>
    </row>
    <row r="4728" spans="12:13" x14ac:dyDescent="0.25">
      <c r="L4728" s="1"/>
      <c r="M4728" s="1"/>
    </row>
    <row r="4729" spans="12:13" x14ac:dyDescent="0.25">
      <c r="L4729" s="1"/>
      <c r="M4729" s="1"/>
    </row>
    <row r="4730" spans="12:13" x14ac:dyDescent="0.25">
      <c r="L4730" s="1"/>
      <c r="M4730" s="1"/>
    </row>
    <row r="4731" spans="12:13" x14ac:dyDescent="0.25">
      <c r="L4731" s="1"/>
      <c r="M4731" s="1"/>
    </row>
    <row r="4732" spans="12:13" x14ac:dyDescent="0.25">
      <c r="L4732" s="1"/>
      <c r="M4732" s="1"/>
    </row>
    <row r="4733" spans="12:13" x14ac:dyDescent="0.25">
      <c r="L4733" s="1"/>
      <c r="M4733" s="1"/>
    </row>
    <row r="4734" spans="12:13" x14ac:dyDescent="0.25">
      <c r="L4734" s="1"/>
      <c r="M4734" s="1"/>
    </row>
    <row r="4735" spans="12:13" x14ac:dyDescent="0.25">
      <c r="L4735" s="1"/>
      <c r="M4735" s="1"/>
    </row>
    <row r="4736" spans="12:13" x14ac:dyDescent="0.25">
      <c r="L4736" s="1"/>
      <c r="M4736" s="1"/>
    </row>
    <row r="4737" spans="12:13" x14ac:dyDescent="0.25">
      <c r="L4737" s="1"/>
      <c r="M4737" s="1"/>
    </row>
    <row r="4738" spans="12:13" x14ac:dyDescent="0.25">
      <c r="L4738" s="1"/>
      <c r="M4738" s="1"/>
    </row>
    <row r="4739" spans="12:13" x14ac:dyDescent="0.25">
      <c r="L4739" s="1"/>
      <c r="M4739" s="1"/>
    </row>
    <row r="4740" spans="12:13" x14ac:dyDescent="0.25">
      <c r="L4740" s="1"/>
      <c r="M4740" s="1"/>
    </row>
    <row r="4741" spans="12:13" x14ac:dyDescent="0.25">
      <c r="L4741" s="1"/>
      <c r="M4741" s="1"/>
    </row>
    <row r="4742" spans="12:13" x14ac:dyDescent="0.25">
      <c r="L4742" s="1"/>
      <c r="M4742" s="1"/>
    </row>
    <row r="4743" spans="12:13" x14ac:dyDescent="0.25">
      <c r="L4743" s="1"/>
      <c r="M4743" s="1"/>
    </row>
    <row r="4744" spans="12:13" x14ac:dyDescent="0.25">
      <c r="L4744" s="1"/>
      <c r="M4744" s="1"/>
    </row>
    <row r="4745" spans="12:13" x14ac:dyDescent="0.25">
      <c r="L4745" s="1"/>
      <c r="M4745" s="1"/>
    </row>
    <row r="4746" spans="12:13" x14ac:dyDescent="0.25">
      <c r="L4746" s="1"/>
      <c r="M4746" s="1"/>
    </row>
    <row r="4747" spans="12:13" x14ac:dyDescent="0.25">
      <c r="L4747" s="1"/>
      <c r="M4747" s="1"/>
    </row>
    <row r="4748" spans="12:13" x14ac:dyDescent="0.25">
      <c r="L4748" s="1"/>
      <c r="M4748" s="1"/>
    </row>
    <row r="4749" spans="12:13" x14ac:dyDescent="0.25">
      <c r="L4749" s="1"/>
      <c r="M4749" s="1"/>
    </row>
    <row r="4750" spans="12:13" x14ac:dyDescent="0.25">
      <c r="L4750" s="1"/>
      <c r="M4750" s="1"/>
    </row>
    <row r="4751" spans="12:13" x14ac:dyDescent="0.25">
      <c r="L4751" s="1"/>
      <c r="M4751" s="1"/>
    </row>
    <row r="4752" spans="12:13" x14ac:dyDescent="0.25">
      <c r="L4752" s="1"/>
      <c r="M4752" s="1"/>
    </row>
    <row r="4753" spans="12:13" x14ac:dyDescent="0.25">
      <c r="L4753" s="1"/>
      <c r="M4753" s="1"/>
    </row>
    <row r="4754" spans="12:13" x14ac:dyDescent="0.25">
      <c r="L4754" s="1"/>
      <c r="M4754" s="1"/>
    </row>
    <row r="4755" spans="12:13" x14ac:dyDescent="0.25">
      <c r="L4755" s="1"/>
      <c r="M4755" s="1"/>
    </row>
    <row r="4756" spans="12:13" x14ac:dyDescent="0.25">
      <c r="L4756" s="1"/>
      <c r="M4756" s="1"/>
    </row>
    <row r="4757" spans="12:13" x14ac:dyDescent="0.25">
      <c r="L4757" s="1"/>
      <c r="M4757" s="1"/>
    </row>
    <row r="4758" spans="12:13" x14ac:dyDescent="0.25">
      <c r="L4758" s="1"/>
      <c r="M4758" s="1"/>
    </row>
    <row r="4759" spans="12:13" x14ac:dyDescent="0.25">
      <c r="L4759" s="1"/>
      <c r="M4759" s="1"/>
    </row>
    <row r="4760" spans="12:13" x14ac:dyDescent="0.25">
      <c r="L4760" s="1"/>
      <c r="M4760" s="1"/>
    </row>
    <row r="4761" spans="12:13" x14ac:dyDescent="0.25">
      <c r="L4761" s="1"/>
      <c r="M4761" s="1"/>
    </row>
    <row r="4762" spans="12:13" x14ac:dyDescent="0.25">
      <c r="L4762" s="1"/>
      <c r="M4762" s="1"/>
    </row>
    <row r="4763" spans="12:13" x14ac:dyDescent="0.25">
      <c r="L4763" s="1"/>
      <c r="M4763" s="1"/>
    </row>
    <row r="4764" spans="12:13" x14ac:dyDescent="0.25">
      <c r="L4764" s="1"/>
      <c r="M4764" s="1"/>
    </row>
    <row r="4765" spans="12:13" x14ac:dyDescent="0.25">
      <c r="L4765" s="1"/>
      <c r="M4765" s="1"/>
    </row>
    <row r="4766" spans="12:13" x14ac:dyDescent="0.25">
      <c r="L4766" s="1"/>
      <c r="M4766" s="1"/>
    </row>
    <row r="4767" spans="12:13" x14ac:dyDescent="0.25">
      <c r="L4767" s="1"/>
      <c r="M4767" s="1"/>
    </row>
    <row r="4768" spans="12:13" x14ac:dyDescent="0.25">
      <c r="L4768" s="1"/>
      <c r="M4768" s="1"/>
    </row>
    <row r="4769" spans="12:13" x14ac:dyDescent="0.25">
      <c r="L4769" s="1"/>
      <c r="M4769" s="1"/>
    </row>
    <row r="4770" spans="12:13" x14ac:dyDescent="0.25">
      <c r="L4770" s="1"/>
      <c r="M4770" s="1"/>
    </row>
    <row r="4771" spans="12:13" x14ac:dyDescent="0.25">
      <c r="L4771" s="1"/>
      <c r="M4771" s="1"/>
    </row>
    <row r="4772" spans="12:13" x14ac:dyDescent="0.25">
      <c r="L4772" s="1"/>
      <c r="M4772" s="1"/>
    </row>
    <row r="4773" spans="12:13" x14ac:dyDescent="0.25">
      <c r="L4773" s="1"/>
      <c r="M4773" s="1"/>
    </row>
    <row r="4774" spans="12:13" x14ac:dyDescent="0.25">
      <c r="L4774" s="1"/>
      <c r="M4774" s="1"/>
    </row>
    <row r="4775" spans="12:13" x14ac:dyDescent="0.25">
      <c r="L4775" s="1"/>
      <c r="M4775" s="1"/>
    </row>
    <row r="4776" spans="12:13" x14ac:dyDescent="0.25">
      <c r="L4776" s="1"/>
      <c r="M4776" s="1"/>
    </row>
    <row r="4777" spans="12:13" x14ac:dyDescent="0.25">
      <c r="L4777" s="1"/>
      <c r="M4777" s="1"/>
    </row>
    <row r="4778" spans="12:13" x14ac:dyDescent="0.25">
      <c r="L4778" s="1"/>
      <c r="M4778" s="1"/>
    </row>
    <row r="4779" spans="12:13" x14ac:dyDescent="0.25">
      <c r="L4779" s="1"/>
      <c r="M4779" s="1"/>
    </row>
    <row r="4780" spans="12:13" x14ac:dyDescent="0.25">
      <c r="L4780" s="1"/>
      <c r="M4780" s="1"/>
    </row>
    <row r="4781" spans="12:13" x14ac:dyDescent="0.25">
      <c r="L4781" s="1"/>
      <c r="M4781" s="1"/>
    </row>
    <row r="4782" spans="12:13" x14ac:dyDescent="0.25">
      <c r="L4782" s="1"/>
      <c r="M4782" s="1"/>
    </row>
    <row r="4783" spans="12:13" x14ac:dyDescent="0.25">
      <c r="L4783" s="1"/>
      <c r="M4783" s="1"/>
    </row>
    <row r="4784" spans="12:13" x14ac:dyDescent="0.25">
      <c r="L4784" s="1"/>
      <c r="M4784" s="1"/>
    </row>
    <row r="4785" spans="12:13" x14ac:dyDescent="0.25">
      <c r="L4785" s="1"/>
      <c r="M4785" s="1"/>
    </row>
    <row r="4786" spans="12:13" x14ac:dyDescent="0.25">
      <c r="L4786" s="1"/>
      <c r="M4786" s="1"/>
    </row>
    <row r="4787" spans="12:13" x14ac:dyDescent="0.25">
      <c r="L4787" s="1"/>
      <c r="M4787" s="1"/>
    </row>
    <row r="4788" spans="12:13" x14ac:dyDescent="0.25">
      <c r="L4788" s="1"/>
      <c r="M4788" s="1"/>
    </row>
    <row r="4789" spans="12:13" x14ac:dyDescent="0.25">
      <c r="L4789" s="1"/>
      <c r="M4789" s="1"/>
    </row>
    <row r="4790" spans="12:13" x14ac:dyDescent="0.25">
      <c r="L4790" s="1"/>
      <c r="M4790" s="1"/>
    </row>
    <row r="4791" spans="12:13" x14ac:dyDescent="0.25">
      <c r="L4791" s="1"/>
      <c r="M4791" s="1"/>
    </row>
    <row r="4792" spans="12:13" x14ac:dyDescent="0.25">
      <c r="L4792" s="1"/>
      <c r="M4792" s="1"/>
    </row>
    <row r="4793" spans="12:13" x14ac:dyDescent="0.25">
      <c r="L4793" s="1"/>
      <c r="M4793" s="1"/>
    </row>
    <row r="4794" spans="12:13" x14ac:dyDescent="0.25">
      <c r="L4794" s="1"/>
      <c r="M4794" s="1"/>
    </row>
    <row r="4795" spans="12:13" x14ac:dyDescent="0.25">
      <c r="L4795" s="1"/>
      <c r="M4795" s="1"/>
    </row>
    <row r="4796" spans="12:13" x14ac:dyDescent="0.25">
      <c r="L4796" s="1"/>
      <c r="M4796" s="1"/>
    </row>
    <row r="4797" spans="12:13" x14ac:dyDescent="0.25">
      <c r="L4797" s="1"/>
      <c r="M4797" s="1"/>
    </row>
    <row r="4798" spans="12:13" x14ac:dyDescent="0.25">
      <c r="L4798" s="1"/>
      <c r="M4798" s="1"/>
    </row>
    <row r="4799" spans="12:13" x14ac:dyDescent="0.25">
      <c r="L4799" s="1"/>
      <c r="M4799" s="1"/>
    </row>
    <row r="4800" spans="12:13" x14ac:dyDescent="0.25">
      <c r="L4800" s="1"/>
      <c r="M4800" s="1"/>
    </row>
    <row r="4801" spans="12:13" x14ac:dyDescent="0.25">
      <c r="L4801" s="1"/>
      <c r="M4801" s="1"/>
    </row>
    <row r="4802" spans="12:13" x14ac:dyDescent="0.25">
      <c r="L4802" s="1"/>
      <c r="M4802" s="1"/>
    </row>
    <row r="4803" spans="12:13" x14ac:dyDescent="0.25">
      <c r="L4803" s="1"/>
      <c r="M4803" s="1"/>
    </row>
    <row r="4804" spans="12:13" x14ac:dyDescent="0.25">
      <c r="L4804" s="1"/>
      <c r="M4804" s="1"/>
    </row>
    <row r="4805" spans="12:13" x14ac:dyDescent="0.25">
      <c r="L4805" s="1"/>
      <c r="M4805" s="1"/>
    </row>
    <row r="4806" spans="12:13" x14ac:dyDescent="0.25">
      <c r="L4806" s="1"/>
      <c r="M4806" s="1"/>
    </row>
    <row r="4807" spans="12:13" x14ac:dyDescent="0.25">
      <c r="L4807" s="1"/>
      <c r="M4807" s="1"/>
    </row>
    <row r="4808" spans="12:13" x14ac:dyDescent="0.25">
      <c r="L4808" s="1"/>
      <c r="M4808" s="1"/>
    </row>
    <row r="4809" spans="12:13" x14ac:dyDescent="0.25">
      <c r="L4809" s="1"/>
      <c r="M4809" s="1"/>
    </row>
    <row r="4810" spans="12:13" x14ac:dyDescent="0.25">
      <c r="L4810" s="1"/>
      <c r="M4810" s="1"/>
    </row>
    <row r="4811" spans="12:13" x14ac:dyDescent="0.25">
      <c r="L4811" s="1"/>
      <c r="M4811" s="1"/>
    </row>
    <row r="4812" spans="12:13" x14ac:dyDescent="0.25">
      <c r="L4812" s="1"/>
      <c r="M4812" s="1"/>
    </row>
    <row r="4813" spans="12:13" x14ac:dyDescent="0.25">
      <c r="L4813" s="1"/>
      <c r="M4813" s="1"/>
    </row>
    <row r="4814" spans="12:13" x14ac:dyDescent="0.25">
      <c r="L4814" s="1"/>
      <c r="M4814" s="1"/>
    </row>
    <row r="4815" spans="12:13" x14ac:dyDescent="0.25">
      <c r="L4815" s="1"/>
      <c r="M4815" s="1"/>
    </row>
    <row r="4816" spans="12:13" x14ac:dyDescent="0.25">
      <c r="L4816" s="1"/>
      <c r="M4816" s="1"/>
    </row>
    <row r="4817" spans="12:13" x14ac:dyDescent="0.25">
      <c r="L4817" s="1"/>
      <c r="M4817" s="1"/>
    </row>
    <row r="4818" spans="12:13" x14ac:dyDescent="0.25">
      <c r="L4818" s="1"/>
      <c r="M4818" s="1"/>
    </row>
    <row r="4819" spans="12:13" x14ac:dyDescent="0.25">
      <c r="L4819" s="1"/>
      <c r="M4819" s="1"/>
    </row>
    <row r="4820" spans="12:13" x14ac:dyDescent="0.25">
      <c r="L4820" s="1"/>
      <c r="M4820" s="1"/>
    </row>
    <row r="4821" spans="12:13" x14ac:dyDescent="0.25">
      <c r="L4821" s="1"/>
      <c r="M4821" s="1"/>
    </row>
    <row r="4822" spans="12:13" x14ac:dyDescent="0.25">
      <c r="L4822" s="1"/>
      <c r="M4822" s="1"/>
    </row>
    <row r="4823" spans="12:13" x14ac:dyDescent="0.25">
      <c r="L4823" s="1"/>
      <c r="M4823" s="1"/>
    </row>
    <row r="4824" spans="12:13" x14ac:dyDescent="0.25">
      <c r="L4824" s="1"/>
      <c r="M4824" s="1"/>
    </row>
    <row r="4825" spans="12:13" x14ac:dyDescent="0.25">
      <c r="L4825" s="1"/>
      <c r="M4825" s="1"/>
    </row>
    <row r="4826" spans="12:13" x14ac:dyDescent="0.25">
      <c r="L4826" s="1"/>
      <c r="M4826" s="1"/>
    </row>
    <row r="4827" spans="12:13" x14ac:dyDescent="0.25">
      <c r="L4827" s="1"/>
      <c r="M4827" s="1"/>
    </row>
    <row r="4828" spans="12:13" x14ac:dyDescent="0.25">
      <c r="L4828" s="1"/>
      <c r="M4828" s="1"/>
    </row>
    <row r="4829" spans="12:13" x14ac:dyDescent="0.25">
      <c r="L4829" s="1"/>
      <c r="M4829" s="1"/>
    </row>
    <row r="4830" spans="12:13" x14ac:dyDescent="0.25">
      <c r="L4830" s="1"/>
      <c r="M4830" s="1"/>
    </row>
    <row r="4831" spans="12:13" x14ac:dyDescent="0.25">
      <c r="L4831" s="1"/>
      <c r="M4831" s="1"/>
    </row>
    <row r="4832" spans="12:13" x14ac:dyDescent="0.25">
      <c r="L4832" s="1"/>
      <c r="M4832" s="1"/>
    </row>
    <row r="4833" spans="12:13" x14ac:dyDescent="0.25">
      <c r="L4833" s="1"/>
      <c r="M4833" s="1"/>
    </row>
    <row r="4834" spans="12:13" x14ac:dyDescent="0.25">
      <c r="L4834" s="1"/>
      <c r="M4834" s="1"/>
    </row>
    <row r="4835" spans="12:13" x14ac:dyDescent="0.25">
      <c r="L4835" s="1"/>
      <c r="M4835" s="1"/>
    </row>
    <row r="4836" spans="12:13" x14ac:dyDescent="0.25">
      <c r="L4836" s="1"/>
      <c r="M4836" s="1"/>
    </row>
    <row r="4837" spans="12:13" x14ac:dyDescent="0.25">
      <c r="L4837" s="1"/>
      <c r="M4837" s="1"/>
    </row>
    <row r="4838" spans="12:13" x14ac:dyDescent="0.25">
      <c r="L4838" s="1"/>
      <c r="M4838" s="1"/>
    </row>
    <row r="4839" spans="12:13" x14ac:dyDescent="0.25">
      <c r="L4839" s="1"/>
      <c r="M4839" s="1"/>
    </row>
    <row r="4840" spans="12:13" x14ac:dyDescent="0.25">
      <c r="L4840" s="1"/>
      <c r="M4840" s="1"/>
    </row>
    <row r="4841" spans="12:13" x14ac:dyDescent="0.25">
      <c r="L4841" s="1"/>
      <c r="M4841" s="1"/>
    </row>
    <row r="4842" spans="12:13" x14ac:dyDescent="0.25">
      <c r="L4842" s="1"/>
      <c r="M4842" s="1"/>
    </row>
    <row r="4843" spans="12:13" x14ac:dyDescent="0.25">
      <c r="L4843" s="1"/>
      <c r="M4843" s="1"/>
    </row>
    <row r="4844" spans="12:13" x14ac:dyDescent="0.25">
      <c r="L4844" s="1"/>
      <c r="M4844" s="1"/>
    </row>
    <row r="4845" spans="12:13" x14ac:dyDescent="0.25">
      <c r="L4845" s="1"/>
      <c r="M4845" s="1"/>
    </row>
    <row r="4846" spans="12:13" x14ac:dyDescent="0.25">
      <c r="L4846" s="1"/>
      <c r="M4846" s="1"/>
    </row>
    <row r="4847" spans="12:13" x14ac:dyDescent="0.25">
      <c r="L4847" s="1"/>
      <c r="M4847" s="1"/>
    </row>
    <row r="4848" spans="12:13" x14ac:dyDescent="0.25">
      <c r="L4848" s="1"/>
      <c r="M4848" s="1"/>
    </row>
    <row r="4849" spans="12:13" x14ac:dyDescent="0.25">
      <c r="L4849" s="1"/>
      <c r="M4849" s="1"/>
    </row>
    <row r="4850" spans="12:13" x14ac:dyDescent="0.25">
      <c r="L4850" s="1"/>
      <c r="M4850" s="1"/>
    </row>
    <row r="4851" spans="12:13" x14ac:dyDescent="0.25">
      <c r="L4851" s="1"/>
      <c r="M4851" s="1"/>
    </row>
    <row r="4852" spans="12:13" x14ac:dyDescent="0.25">
      <c r="L4852" s="1"/>
      <c r="M4852" s="1"/>
    </row>
    <row r="4853" spans="12:13" x14ac:dyDescent="0.25">
      <c r="L4853" s="1"/>
      <c r="M4853" s="1"/>
    </row>
    <row r="4854" spans="12:13" x14ac:dyDescent="0.25">
      <c r="L4854" s="1"/>
      <c r="M4854" s="1"/>
    </row>
    <row r="4855" spans="12:13" x14ac:dyDescent="0.25">
      <c r="L4855" s="1"/>
      <c r="M4855" s="1"/>
    </row>
    <row r="4856" spans="12:13" x14ac:dyDescent="0.25">
      <c r="L4856" s="1"/>
      <c r="M4856" s="1"/>
    </row>
    <row r="4857" spans="12:13" x14ac:dyDescent="0.25">
      <c r="L4857" s="1"/>
      <c r="M4857" s="1"/>
    </row>
    <row r="4858" spans="12:13" x14ac:dyDescent="0.25">
      <c r="L4858" s="1"/>
      <c r="M4858" s="1"/>
    </row>
    <row r="4859" spans="12:13" x14ac:dyDescent="0.25">
      <c r="L4859" s="1"/>
      <c r="M4859" s="1"/>
    </row>
    <row r="4860" spans="12:13" x14ac:dyDescent="0.25">
      <c r="L4860" s="1"/>
      <c r="M4860" s="1"/>
    </row>
    <row r="4861" spans="12:13" x14ac:dyDescent="0.25">
      <c r="L4861" s="1"/>
      <c r="M4861" s="1"/>
    </row>
    <row r="4862" spans="12:13" x14ac:dyDescent="0.25">
      <c r="L4862" s="1"/>
      <c r="M4862" s="1"/>
    </row>
    <row r="4863" spans="12:13" x14ac:dyDescent="0.25">
      <c r="L4863" s="1"/>
      <c r="M4863" s="1"/>
    </row>
    <row r="4864" spans="12:13" x14ac:dyDescent="0.25">
      <c r="L4864" s="1"/>
      <c r="M4864" s="1"/>
    </row>
    <row r="4865" spans="12:13" x14ac:dyDescent="0.25">
      <c r="L4865" s="1"/>
      <c r="M4865" s="1"/>
    </row>
    <row r="4866" spans="12:13" x14ac:dyDescent="0.25">
      <c r="L4866" s="1"/>
      <c r="M4866" s="1"/>
    </row>
    <row r="4867" spans="12:13" x14ac:dyDescent="0.25">
      <c r="L4867" s="1"/>
      <c r="M4867" s="1"/>
    </row>
    <row r="4868" spans="12:13" x14ac:dyDescent="0.25">
      <c r="L4868" s="1"/>
      <c r="M4868" s="1"/>
    </row>
    <row r="4869" spans="12:13" x14ac:dyDescent="0.25">
      <c r="L4869" s="1"/>
      <c r="M4869" s="1"/>
    </row>
    <row r="4870" spans="12:13" x14ac:dyDescent="0.25">
      <c r="L4870" s="1"/>
      <c r="M4870" s="1"/>
    </row>
    <row r="4871" spans="12:13" x14ac:dyDescent="0.25">
      <c r="L4871" s="1"/>
      <c r="M4871" s="1"/>
    </row>
    <row r="4872" spans="12:13" x14ac:dyDescent="0.25">
      <c r="L4872" s="1"/>
      <c r="M4872" s="1"/>
    </row>
    <row r="4873" spans="12:13" x14ac:dyDescent="0.25">
      <c r="L4873" s="1"/>
      <c r="M4873" s="1"/>
    </row>
    <row r="4874" spans="12:13" x14ac:dyDescent="0.25">
      <c r="L4874" s="1"/>
      <c r="M4874" s="1"/>
    </row>
    <row r="4875" spans="12:13" x14ac:dyDescent="0.25">
      <c r="L4875" s="1"/>
      <c r="M4875" s="1"/>
    </row>
    <row r="4876" spans="12:13" x14ac:dyDescent="0.25">
      <c r="L4876" s="1"/>
      <c r="M4876" s="1"/>
    </row>
    <row r="4877" spans="12:13" x14ac:dyDescent="0.25">
      <c r="L4877" s="1"/>
      <c r="M4877" s="1"/>
    </row>
    <row r="4878" spans="12:13" x14ac:dyDescent="0.25">
      <c r="L4878" s="1"/>
      <c r="M4878" s="1"/>
    </row>
    <row r="4879" spans="12:13" x14ac:dyDescent="0.25">
      <c r="L4879" s="1"/>
      <c r="M4879" s="1"/>
    </row>
    <row r="4880" spans="12:13" x14ac:dyDescent="0.25">
      <c r="L4880" s="1"/>
      <c r="M4880" s="1"/>
    </row>
    <row r="4881" spans="12:13" x14ac:dyDescent="0.25">
      <c r="L4881" s="1"/>
      <c r="M4881" s="1"/>
    </row>
    <row r="4882" spans="12:13" x14ac:dyDescent="0.25">
      <c r="L4882" s="1"/>
      <c r="M4882" s="1"/>
    </row>
    <row r="4883" spans="12:13" x14ac:dyDescent="0.25">
      <c r="L4883" s="1"/>
      <c r="M4883" s="1"/>
    </row>
    <row r="4884" spans="12:13" x14ac:dyDescent="0.25">
      <c r="L4884" s="1"/>
      <c r="M4884" s="1"/>
    </row>
    <row r="4885" spans="12:13" x14ac:dyDescent="0.25">
      <c r="L4885" s="1"/>
      <c r="M4885" s="1"/>
    </row>
    <row r="4886" spans="12:13" x14ac:dyDescent="0.25">
      <c r="L4886" s="1"/>
      <c r="M4886" s="1"/>
    </row>
    <row r="4887" spans="12:13" x14ac:dyDescent="0.25">
      <c r="L4887" s="1"/>
      <c r="M4887" s="1"/>
    </row>
    <row r="4888" spans="12:13" x14ac:dyDescent="0.25">
      <c r="L4888" s="1"/>
      <c r="M4888" s="1"/>
    </row>
    <row r="4889" spans="12:13" x14ac:dyDescent="0.25">
      <c r="L4889" s="1"/>
      <c r="M4889" s="1"/>
    </row>
    <row r="4890" spans="12:13" x14ac:dyDescent="0.25">
      <c r="L4890" s="1"/>
      <c r="M4890" s="1"/>
    </row>
    <row r="4891" spans="12:13" x14ac:dyDescent="0.25">
      <c r="L4891" s="1"/>
      <c r="M4891" s="1"/>
    </row>
    <row r="4892" spans="12:13" x14ac:dyDescent="0.25">
      <c r="L4892" s="1"/>
      <c r="M4892" s="1"/>
    </row>
    <row r="4893" spans="12:13" x14ac:dyDescent="0.25">
      <c r="L4893" s="1"/>
      <c r="M4893" s="1"/>
    </row>
    <row r="4894" spans="12:13" x14ac:dyDescent="0.25">
      <c r="L4894" s="1"/>
      <c r="M4894" s="1"/>
    </row>
    <row r="4895" spans="12:13" x14ac:dyDescent="0.25">
      <c r="L4895" s="1"/>
      <c r="M4895" s="1"/>
    </row>
    <row r="4896" spans="12:13" x14ac:dyDescent="0.25">
      <c r="L4896" s="1"/>
      <c r="M4896" s="1"/>
    </row>
    <row r="4897" spans="12:13" x14ac:dyDescent="0.25">
      <c r="L4897" s="1"/>
      <c r="M4897" s="1"/>
    </row>
    <row r="4898" spans="12:13" x14ac:dyDescent="0.25">
      <c r="L4898" s="1"/>
      <c r="M4898" s="1"/>
    </row>
    <row r="4899" spans="12:13" x14ac:dyDescent="0.25">
      <c r="L4899" s="1"/>
      <c r="M4899" s="1"/>
    </row>
    <row r="4900" spans="12:13" x14ac:dyDescent="0.25">
      <c r="L4900" s="1"/>
      <c r="M4900" s="1"/>
    </row>
    <row r="4901" spans="12:13" x14ac:dyDescent="0.25">
      <c r="L4901" s="1"/>
      <c r="M4901" s="1"/>
    </row>
    <row r="4902" spans="12:13" x14ac:dyDescent="0.25">
      <c r="L4902" s="1"/>
      <c r="M4902" s="1"/>
    </row>
    <row r="4903" spans="12:13" x14ac:dyDescent="0.25">
      <c r="L4903" s="1"/>
      <c r="M4903" s="1"/>
    </row>
    <row r="4904" spans="12:13" x14ac:dyDescent="0.25">
      <c r="L4904" s="1"/>
      <c r="M4904" s="1"/>
    </row>
    <row r="4905" spans="12:13" x14ac:dyDescent="0.25">
      <c r="L4905" s="1"/>
      <c r="M4905" s="1"/>
    </row>
    <row r="4906" spans="12:13" x14ac:dyDescent="0.25">
      <c r="L4906" s="1"/>
      <c r="M4906" s="1"/>
    </row>
    <row r="4907" spans="12:13" x14ac:dyDescent="0.25">
      <c r="L4907" s="1"/>
      <c r="M4907" s="1"/>
    </row>
    <row r="4908" spans="12:13" x14ac:dyDescent="0.25">
      <c r="L4908" s="1"/>
      <c r="M4908" s="1"/>
    </row>
    <row r="4909" spans="12:13" x14ac:dyDescent="0.25">
      <c r="L4909" s="1"/>
      <c r="M4909" s="1"/>
    </row>
    <row r="4910" spans="12:13" x14ac:dyDescent="0.25">
      <c r="L4910" s="1"/>
      <c r="M4910" s="1"/>
    </row>
    <row r="4911" spans="12:13" x14ac:dyDescent="0.25">
      <c r="L4911" s="1"/>
      <c r="M4911" s="1"/>
    </row>
    <row r="4912" spans="12:13" x14ac:dyDescent="0.25">
      <c r="L4912" s="1"/>
      <c r="M4912" s="1"/>
    </row>
    <row r="4913" spans="12:13" x14ac:dyDescent="0.25">
      <c r="L4913" s="1"/>
      <c r="M4913" s="1"/>
    </row>
    <row r="4914" spans="12:13" x14ac:dyDescent="0.25">
      <c r="L4914" s="1"/>
      <c r="M4914" s="1"/>
    </row>
    <row r="4915" spans="12:13" x14ac:dyDescent="0.25">
      <c r="L4915" s="1"/>
      <c r="M4915" s="1"/>
    </row>
    <row r="4916" spans="12:13" x14ac:dyDescent="0.25">
      <c r="L4916" s="1"/>
      <c r="M4916" s="1"/>
    </row>
    <row r="4917" spans="12:13" x14ac:dyDescent="0.25">
      <c r="L4917" s="1"/>
      <c r="M4917" s="1"/>
    </row>
    <row r="4918" spans="12:13" x14ac:dyDescent="0.25">
      <c r="L4918" s="1"/>
      <c r="M4918" s="1"/>
    </row>
    <row r="4919" spans="12:13" x14ac:dyDescent="0.25">
      <c r="L4919" s="1"/>
      <c r="M4919" s="1"/>
    </row>
    <row r="4920" spans="12:13" x14ac:dyDescent="0.25">
      <c r="L4920" s="1"/>
      <c r="M4920" s="1"/>
    </row>
    <row r="4921" spans="12:13" x14ac:dyDescent="0.25">
      <c r="L4921" s="1"/>
      <c r="M4921" s="1"/>
    </row>
    <row r="4922" spans="12:13" x14ac:dyDescent="0.25">
      <c r="L4922" s="1"/>
      <c r="M4922" s="1"/>
    </row>
    <row r="4923" spans="12:13" x14ac:dyDescent="0.25">
      <c r="L4923" s="1"/>
      <c r="M4923" s="1"/>
    </row>
    <row r="4924" spans="12:13" x14ac:dyDescent="0.25">
      <c r="L4924" s="1"/>
      <c r="M4924" s="1"/>
    </row>
    <row r="4925" spans="12:13" x14ac:dyDescent="0.25">
      <c r="L4925" s="1"/>
      <c r="M4925" s="1"/>
    </row>
    <row r="4926" spans="12:13" x14ac:dyDescent="0.25">
      <c r="L4926" s="1"/>
      <c r="M4926" s="1"/>
    </row>
    <row r="4927" spans="12:13" x14ac:dyDescent="0.25">
      <c r="L4927" s="1"/>
      <c r="M4927" s="1"/>
    </row>
    <row r="4928" spans="12:13" x14ac:dyDescent="0.25">
      <c r="L4928" s="1"/>
      <c r="M4928" s="1"/>
    </row>
    <row r="4929" spans="12:13" x14ac:dyDescent="0.25">
      <c r="L4929" s="1"/>
      <c r="M4929" s="1"/>
    </row>
    <row r="4930" spans="12:13" x14ac:dyDescent="0.25">
      <c r="L4930" s="1"/>
      <c r="M4930" s="1"/>
    </row>
    <row r="4931" spans="12:13" x14ac:dyDescent="0.25">
      <c r="L4931" s="1"/>
      <c r="M4931" s="1"/>
    </row>
    <row r="4932" spans="12:13" x14ac:dyDescent="0.25">
      <c r="L4932" s="1"/>
      <c r="M4932" s="1"/>
    </row>
    <row r="4933" spans="12:13" x14ac:dyDescent="0.25">
      <c r="L4933" s="1"/>
      <c r="M4933" s="1"/>
    </row>
    <row r="4934" spans="12:13" x14ac:dyDescent="0.25">
      <c r="L4934" s="1"/>
      <c r="M4934" s="1"/>
    </row>
    <row r="4935" spans="12:13" x14ac:dyDescent="0.25">
      <c r="L4935" s="1"/>
      <c r="M4935" s="1"/>
    </row>
    <row r="4936" spans="12:13" x14ac:dyDescent="0.25">
      <c r="L4936" s="1"/>
      <c r="M4936" s="1"/>
    </row>
    <row r="4937" spans="12:13" x14ac:dyDescent="0.25">
      <c r="L4937" s="1"/>
      <c r="M4937" s="1"/>
    </row>
    <row r="4938" spans="12:13" x14ac:dyDescent="0.25">
      <c r="L4938" s="1"/>
      <c r="M4938" s="1"/>
    </row>
    <row r="4939" spans="12:13" x14ac:dyDescent="0.25">
      <c r="L4939" s="1"/>
      <c r="M4939" s="1"/>
    </row>
    <row r="4940" spans="12:13" x14ac:dyDescent="0.25">
      <c r="L4940" s="1"/>
      <c r="M4940" s="1"/>
    </row>
    <row r="4941" spans="12:13" x14ac:dyDescent="0.25">
      <c r="L4941" s="1"/>
      <c r="M4941" s="1"/>
    </row>
    <row r="4942" spans="12:13" x14ac:dyDescent="0.25">
      <c r="L4942" s="1"/>
      <c r="M4942" s="1"/>
    </row>
    <row r="4943" spans="12:13" x14ac:dyDescent="0.25">
      <c r="L4943" s="1"/>
      <c r="M4943" s="1"/>
    </row>
    <row r="4944" spans="12:13" x14ac:dyDescent="0.25">
      <c r="L4944" s="1"/>
      <c r="M4944" s="1"/>
    </row>
    <row r="4945" spans="12:13" x14ac:dyDescent="0.25">
      <c r="L4945" s="1"/>
      <c r="M4945" s="1"/>
    </row>
    <row r="4946" spans="12:13" x14ac:dyDescent="0.25">
      <c r="L4946" s="1"/>
      <c r="M4946" s="1"/>
    </row>
    <row r="4947" spans="12:13" x14ac:dyDescent="0.25">
      <c r="L4947" s="1"/>
      <c r="M4947" s="1"/>
    </row>
    <row r="4948" spans="12:13" x14ac:dyDescent="0.25">
      <c r="L4948" s="1"/>
      <c r="M4948" s="1"/>
    </row>
    <row r="4949" spans="12:13" x14ac:dyDescent="0.25">
      <c r="L4949" s="1"/>
      <c r="M4949" s="1"/>
    </row>
    <row r="4950" spans="12:13" x14ac:dyDescent="0.25">
      <c r="L4950" s="1"/>
      <c r="M4950" s="1"/>
    </row>
    <row r="4951" spans="12:13" x14ac:dyDescent="0.25">
      <c r="L4951" s="1"/>
      <c r="M4951" s="1"/>
    </row>
    <row r="4952" spans="12:13" x14ac:dyDescent="0.25">
      <c r="L4952" s="1"/>
      <c r="M4952" s="1"/>
    </row>
    <row r="4953" spans="12:13" x14ac:dyDescent="0.25">
      <c r="L4953" s="1"/>
      <c r="M4953" s="1"/>
    </row>
    <row r="4954" spans="12:13" x14ac:dyDescent="0.25">
      <c r="L4954" s="1"/>
      <c r="M4954" s="1"/>
    </row>
    <row r="4955" spans="12:13" x14ac:dyDescent="0.25">
      <c r="L4955" s="1"/>
      <c r="M4955" s="1"/>
    </row>
    <row r="4956" spans="12:13" x14ac:dyDescent="0.25">
      <c r="L4956" s="1"/>
      <c r="M4956" s="1"/>
    </row>
    <row r="4957" spans="12:13" x14ac:dyDescent="0.25">
      <c r="L4957" s="1"/>
      <c r="M4957" s="1"/>
    </row>
    <row r="4958" spans="12:13" x14ac:dyDescent="0.25">
      <c r="L4958" s="1"/>
      <c r="M4958" s="1"/>
    </row>
    <row r="4959" spans="12:13" x14ac:dyDescent="0.25">
      <c r="L4959" s="1"/>
      <c r="M4959" s="1"/>
    </row>
    <row r="4960" spans="12:13" x14ac:dyDescent="0.25">
      <c r="L4960" s="1"/>
      <c r="M4960" s="1"/>
    </row>
    <row r="4961" spans="12:13" x14ac:dyDescent="0.25">
      <c r="L4961" s="1"/>
      <c r="M4961" s="1"/>
    </row>
    <row r="4962" spans="12:13" x14ac:dyDescent="0.25">
      <c r="L4962" s="1"/>
      <c r="M4962" s="1"/>
    </row>
    <row r="4963" spans="12:13" x14ac:dyDescent="0.25">
      <c r="L4963" s="1"/>
      <c r="M4963" s="1"/>
    </row>
    <row r="4964" spans="12:13" x14ac:dyDescent="0.25">
      <c r="L4964" s="1"/>
      <c r="M4964" s="1"/>
    </row>
    <row r="4965" spans="12:13" x14ac:dyDescent="0.25">
      <c r="L4965" s="1"/>
      <c r="M4965" s="1"/>
    </row>
    <row r="4966" spans="12:13" x14ac:dyDescent="0.25">
      <c r="L4966" s="1"/>
      <c r="M4966" s="1"/>
    </row>
    <row r="4967" spans="12:13" x14ac:dyDescent="0.25">
      <c r="L4967" s="1"/>
      <c r="M4967" s="1"/>
    </row>
    <row r="4968" spans="12:13" x14ac:dyDescent="0.25">
      <c r="L4968" s="1"/>
      <c r="M4968" s="1"/>
    </row>
    <row r="4969" spans="12:13" x14ac:dyDescent="0.25">
      <c r="L4969" s="1"/>
      <c r="M4969" s="1"/>
    </row>
    <row r="4970" spans="12:13" x14ac:dyDescent="0.25">
      <c r="L4970" s="1"/>
      <c r="M4970" s="1"/>
    </row>
    <row r="4971" spans="12:13" x14ac:dyDescent="0.25">
      <c r="L4971" s="1"/>
      <c r="M4971" s="1"/>
    </row>
    <row r="4972" spans="12:13" x14ac:dyDescent="0.25">
      <c r="L4972" s="1"/>
      <c r="M4972" s="1"/>
    </row>
    <row r="4973" spans="12:13" x14ac:dyDescent="0.25">
      <c r="L4973" s="1"/>
      <c r="M4973" s="1"/>
    </row>
    <row r="4974" spans="12:13" x14ac:dyDescent="0.25">
      <c r="L4974" s="1"/>
      <c r="M4974" s="1"/>
    </row>
    <row r="4975" spans="12:13" x14ac:dyDescent="0.25">
      <c r="L4975" s="1"/>
      <c r="M4975" s="1"/>
    </row>
    <row r="4976" spans="12:13" x14ac:dyDescent="0.25">
      <c r="L4976" s="1"/>
      <c r="M4976" s="1"/>
    </row>
    <row r="4977" spans="12:13" x14ac:dyDescent="0.25">
      <c r="L4977" s="1"/>
      <c r="M4977" s="1"/>
    </row>
    <row r="4978" spans="12:13" x14ac:dyDescent="0.25">
      <c r="L4978" s="1"/>
      <c r="M4978" s="1"/>
    </row>
    <row r="4979" spans="12:13" x14ac:dyDescent="0.25">
      <c r="L4979" s="1"/>
      <c r="M4979" s="1"/>
    </row>
    <row r="4980" spans="12:13" x14ac:dyDescent="0.25">
      <c r="L4980" s="1"/>
      <c r="M4980" s="1"/>
    </row>
    <row r="4981" spans="12:13" x14ac:dyDescent="0.25">
      <c r="L4981" s="1"/>
      <c r="M4981" s="1"/>
    </row>
    <row r="4982" spans="12:13" x14ac:dyDescent="0.25">
      <c r="L4982" s="1"/>
      <c r="M4982" s="1"/>
    </row>
    <row r="4983" spans="12:13" x14ac:dyDescent="0.25">
      <c r="L4983" s="1"/>
      <c r="M4983" s="1"/>
    </row>
    <row r="4984" spans="12:13" x14ac:dyDescent="0.25">
      <c r="L4984" s="1"/>
      <c r="M4984" s="1"/>
    </row>
    <row r="4985" spans="12:13" x14ac:dyDescent="0.25">
      <c r="L4985" s="1"/>
      <c r="M4985" s="1"/>
    </row>
    <row r="4986" spans="12:13" x14ac:dyDescent="0.25">
      <c r="L4986" s="1"/>
      <c r="M4986" s="1"/>
    </row>
    <row r="4987" spans="12:13" x14ac:dyDescent="0.25">
      <c r="L4987" s="1"/>
      <c r="M4987" s="1"/>
    </row>
    <row r="4988" spans="12:13" x14ac:dyDescent="0.25">
      <c r="L4988" s="1"/>
      <c r="M4988" s="1"/>
    </row>
    <row r="4989" spans="12:13" x14ac:dyDescent="0.25">
      <c r="L4989" s="1"/>
      <c r="M4989" s="1"/>
    </row>
    <row r="4990" spans="12:13" x14ac:dyDescent="0.25">
      <c r="L4990" s="1"/>
      <c r="M4990" s="1"/>
    </row>
    <row r="4991" spans="12:13" x14ac:dyDescent="0.25">
      <c r="L4991" s="1"/>
      <c r="M4991" s="1"/>
    </row>
    <row r="4992" spans="12:13" x14ac:dyDescent="0.25">
      <c r="L4992" s="1"/>
      <c r="M4992" s="1"/>
    </row>
    <row r="4993" spans="12:13" x14ac:dyDescent="0.25">
      <c r="L4993" s="1"/>
      <c r="M4993" s="1"/>
    </row>
    <row r="4994" spans="12:13" x14ac:dyDescent="0.25">
      <c r="L4994" s="1"/>
      <c r="M4994" s="1"/>
    </row>
    <row r="4995" spans="12:13" x14ac:dyDescent="0.25">
      <c r="L4995" s="1"/>
      <c r="M4995" s="1"/>
    </row>
    <row r="4996" spans="12:13" x14ac:dyDescent="0.25">
      <c r="L4996" s="1"/>
      <c r="M4996" s="1"/>
    </row>
    <row r="4997" spans="12:13" x14ac:dyDescent="0.25">
      <c r="L4997" s="1"/>
      <c r="M4997" s="1"/>
    </row>
    <row r="4998" spans="12:13" x14ac:dyDescent="0.25">
      <c r="L4998" s="1"/>
      <c r="M4998" s="1"/>
    </row>
    <row r="4999" spans="12:13" x14ac:dyDescent="0.25">
      <c r="L4999" s="1"/>
      <c r="M4999" s="1"/>
    </row>
    <row r="5000" spans="12:13" x14ac:dyDescent="0.25">
      <c r="L5000" s="1"/>
      <c r="M5000" s="1"/>
    </row>
  </sheetData>
  <conditionalFormatting sqref="B11:P1950">
    <cfRule type="expression" dxfId="0" priority="1" stopIfTrue="1">
      <formula>MOD(ROW(),2)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buttonRefresh">
          <controlPr defaultSize="0" autoLine="0" r:id="rId5">
            <anchor moveWithCells="1">
              <from>
                <xdr:col>2</xdr:col>
                <xdr:colOff>1257300</xdr:colOff>
                <xdr:row>0</xdr:row>
                <xdr:rowOff>114300</xdr:rowOff>
              </from>
              <to>
                <xdr:col>2</xdr:col>
                <xdr:colOff>2762250</xdr:colOff>
                <xdr:row>1</xdr:row>
                <xdr:rowOff>285750</xdr:rowOff>
              </to>
            </anchor>
          </controlPr>
        </control>
      </mc:Choice>
      <mc:Fallback>
        <control shapeId="13313" r:id="rId4" name="buttonRefresh"/>
      </mc:Fallback>
    </mc:AlternateContent>
    <mc:AlternateContent xmlns:mc="http://schemas.openxmlformats.org/markup-compatibility/2006">
      <mc:Choice Requires="x14">
        <control shapeId="13314" r:id="rId6" name="OptionButtonSortID">
          <controlPr defaultSize="0" autoLine="0" autoPict="0" r:id="rId7">
            <anchor moveWithCells="1" siz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895350</xdr:colOff>
                <xdr:row>6</xdr:row>
                <xdr:rowOff>47625</xdr:rowOff>
              </to>
            </anchor>
          </controlPr>
        </control>
      </mc:Choice>
      <mc:Fallback>
        <control shapeId="13314" r:id="rId6" name="OptionButtonSortID"/>
      </mc:Fallback>
    </mc:AlternateContent>
    <mc:AlternateContent xmlns:mc="http://schemas.openxmlformats.org/markup-compatibility/2006">
      <mc:Choice Requires="x14">
        <control shapeId="13315" r:id="rId8" name="OptionButtonSortName">
          <controlPr defaultSize="0" autoLine="0" autoPict="0" r:id="rId9">
            <anchor moveWithCells="1" sizeWithCells="1">
              <from>
                <xdr:col>2</xdr:col>
                <xdr:colOff>895350</xdr:colOff>
                <xdr:row>4</xdr:row>
                <xdr:rowOff>123825</xdr:rowOff>
              </from>
              <to>
                <xdr:col>2</xdr:col>
                <xdr:colOff>2019300</xdr:colOff>
                <xdr:row>6</xdr:row>
                <xdr:rowOff>47625</xdr:rowOff>
              </to>
            </anchor>
          </controlPr>
        </control>
      </mc:Choice>
      <mc:Fallback>
        <control shapeId="13315" r:id="rId8" name="OptionButtonSortName"/>
      </mc:Fallback>
    </mc:AlternateContent>
    <mc:AlternateContent xmlns:mc="http://schemas.openxmlformats.org/markup-compatibility/2006">
      <mc:Choice Requires="x14">
        <control shapeId="13316" r:id="rId10" name="OptionButtonSortUsages">
          <controlPr defaultSize="0" autoLine="0" autoPict="0" r:id="rId11">
            <anchor moveWithCells="1" sizeWithCells="1">
              <from>
                <xdr:col>2</xdr:col>
                <xdr:colOff>2019300</xdr:colOff>
                <xdr:row>4</xdr:row>
                <xdr:rowOff>123825</xdr:rowOff>
              </from>
              <to>
                <xdr:col>2</xdr:col>
                <xdr:colOff>3000375</xdr:colOff>
                <xdr:row>6</xdr:row>
                <xdr:rowOff>47625</xdr:rowOff>
              </to>
            </anchor>
          </controlPr>
        </control>
      </mc:Choice>
      <mc:Fallback>
        <control shapeId="13316" r:id="rId10" name="OptionButtonSortUsages"/>
      </mc:Fallback>
    </mc:AlternateContent>
    <mc:AlternateContent xmlns:mc="http://schemas.openxmlformats.org/markup-compatibility/2006">
      <mc:Choice Requires="x14">
        <control shapeId="13317" r:id="rId12" name="OptionButtonSortUsers">
          <controlPr defaultSize="0" autoLine="0" autoPict="0" r:id="rId13">
            <anchor moveWithCells="1" sizeWithCells="1">
              <from>
                <xdr:col>2</xdr:col>
                <xdr:colOff>3000375</xdr:colOff>
                <xdr:row>4</xdr:row>
                <xdr:rowOff>123825</xdr:rowOff>
              </from>
              <to>
                <xdr:col>2</xdr:col>
                <xdr:colOff>3762375</xdr:colOff>
                <xdr:row>6</xdr:row>
                <xdr:rowOff>47625</xdr:rowOff>
              </to>
            </anchor>
          </controlPr>
        </control>
      </mc:Choice>
      <mc:Fallback>
        <control shapeId="13317" r:id="rId12" name="OptionButtonSortUsers"/>
      </mc:Fallback>
    </mc:AlternateContent>
    <mc:AlternateContent xmlns:mc="http://schemas.openxmlformats.org/markup-compatibility/2006">
      <mc:Choice Requires="x14">
        <control shapeId="13318" r:id="rId14" name="OptionButtonSortSessionsUsedIn">
          <controlPr defaultSize="0" autoLine="0" autoPict="0" r:id="rId15">
            <anchor moveWithCells="1" sizeWithCells="1">
              <from>
                <xdr:col>2</xdr:col>
                <xdr:colOff>3752850</xdr:colOff>
                <xdr:row>4</xdr:row>
                <xdr:rowOff>133350</xdr:rowOff>
              </from>
              <to>
                <xdr:col>3</xdr:col>
                <xdr:colOff>447675</xdr:colOff>
                <xdr:row>6</xdr:row>
                <xdr:rowOff>57150</xdr:rowOff>
              </to>
            </anchor>
          </controlPr>
        </control>
      </mc:Choice>
      <mc:Fallback>
        <control shapeId="13318" r:id="rId14" name="OptionButtonSortSessionsUsedI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4"/>
  <sheetViews>
    <sheetView zoomScaleNormal="100" workbookViewId="0">
      <selection activeCell="D37" sqref="D37"/>
    </sheetView>
  </sheetViews>
  <sheetFormatPr defaultRowHeight="15" x14ac:dyDescent="0.25"/>
  <cols>
    <col min="1" max="1" width="5.42578125" customWidth="1"/>
    <col min="2" max="2" width="35.85546875" customWidth="1"/>
    <col min="3" max="3" width="13.140625" customWidth="1"/>
    <col min="4" max="4" width="12.7109375" customWidth="1"/>
    <col min="5" max="5" width="7.42578125" customWidth="1"/>
    <col min="6" max="6" width="35.85546875" customWidth="1"/>
    <col min="7" max="7" width="11" bestFit="1" customWidth="1"/>
    <col min="8" max="8" width="15.7109375" customWidth="1"/>
    <col min="9" max="9" width="7.140625" customWidth="1"/>
    <col min="10" max="10" width="30.42578125" customWidth="1"/>
  </cols>
  <sheetData>
    <row r="1" spans="1:11" x14ac:dyDescent="0.25">
      <c r="A1" s="56"/>
      <c r="B1" s="56"/>
      <c r="C1" s="56"/>
      <c r="D1" s="56"/>
      <c r="E1" s="56"/>
      <c r="F1" s="56"/>
      <c r="G1" s="56"/>
      <c r="H1" s="56"/>
      <c r="I1" s="56"/>
    </row>
    <row r="2" spans="1:11" ht="28.5" x14ac:dyDescent="0.45">
      <c r="A2" s="56"/>
      <c r="B2" s="57" t="s">
        <v>32</v>
      </c>
      <c r="C2" s="56"/>
      <c r="D2" s="56"/>
      <c r="E2" s="56"/>
      <c r="F2" s="56"/>
      <c r="G2" s="56"/>
      <c r="H2" s="56"/>
      <c r="I2" s="56"/>
    </row>
    <row r="4" spans="1:11" x14ac:dyDescent="0.25">
      <c r="B4" s="5" t="s">
        <v>5</v>
      </c>
      <c r="C4" s="7" t="s">
        <v>30</v>
      </c>
      <c r="D4" s="4" t="s">
        <v>28</v>
      </c>
      <c r="F4" s="5" t="s">
        <v>12</v>
      </c>
      <c r="G4" s="7" t="s">
        <v>30</v>
      </c>
      <c r="H4" s="4" t="s">
        <v>28</v>
      </c>
    </row>
    <row r="5" spans="1:11" x14ac:dyDescent="0.25">
      <c r="B5" s="6" t="s">
        <v>7</v>
      </c>
      <c r="C5" s="8">
        <v>1</v>
      </c>
      <c r="D5" s="76">
        <f>C5/$C$10</f>
        <v>1</v>
      </c>
      <c r="F5" s="6" t="s">
        <v>75</v>
      </c>
      <c r="G5" s="8">
        <v>1</v>
      </c>
      <c r="H5" s="3">
        <f>G5/$G$10</f>
        <v>1</v>
      </c>
    </row>
    <row r="6" spans="1:11" x14ac:dyDescent="0.25">
      <c r="B6" s="6" t="s">
        <v>8</v>
      </c>
      <c r="C6" s="8">
        <v>0</v>
      </c>
      <c r="D6" s="76">
        <f>C6/$C$10</f>
        <v>0</v>
      </c>
      <c r="F6" s="6" t="s">
        <v>76</v>
      </c>
      <c r="G6" s="8">
        <v>0</v>
      </c>
      <c r="H6" s="3">
        <f>G6/$G$10</f>
        <v>0</v>
      </c>
    </row>
    <row r="7" spans="1:11" x14ac:dyDescent="0.25">
      <c r="B7" s="6" t="s">
        <v>13</v>
      </c>
      <c r="C7" s="8">
        <v>0</v>
      </c>
      <c r="D7" s="76">
        <f>C7/$C$10</f>
        <v>0</v>
      </c>
      <c r="F7" s="6" t="s">
        <v>77</v>
      </c>
      <c r="G7" s="8">
        <v>0</v>
      </c>
      <c r="H7" s="3">
        <f>G7/$G$10</f>
        <v>0</v>
      </c>
    </row>
    <row r="8" spans="1:11" x14ac:dyDescent="0.25">
      <c r="B8" s="6" t="s">
        <v>6</v>
      </c>
      <c r="C8" s="8">
        <v>0</v>
      </c>
      <c r="D8" s="76">
        <f>C8/$C$10</f>
        <v>0</v>
      </c>
      <c r="F8" s="6" t="s">
        <v>78</v>
      </c>
      <c r="G8" s="8">
        <v>0</v>
      </c>
      <c r="H8" s="3">
        <f>G8/$G$10</f>
        <v>0</v>
      </c>
    </row>
    <row r="9" spans="1:11" x14ac:dyDescent="0.25">
      <c r="B9" s="6" t="s">
        <v>11</v>
      </c>
      <c r="C9" s="8">
        <v>0</v>
      </c>
      <c r="D9" s="76">
        <f>C9/$C$10</f>
        <v>0</v>
      </c>
      <c r="F9" s="6" t="s">
        <v>79</v>
      </c>
      <c r="G9" s="8">
        <v>0</v>
      </c>
      <c r="H9" s="3">
        <f>G9/$G$10</f>
        <v>0</v>
      </c>
    </row>
    <row r="10" spans="1:11" x14ac:dyDescent="0.25">
      <c r="B10" s="9" t="s">
        <v>14</v>
      </c>
      <c r="C10" s="60">
        <f>SUM(C5:C9)</f>
        <v>1</v>
      </c>
      <c r="D10" s="11">
        <f>SUM(D5:D9)</f>
        <v>1</v>
      </c>
      <c r="F10" s="9" t="s">
        <v>14</v>
      </c>
      <c r="G10" s="60">
        <f>SUM(G5:G9)</f>
        <v>1</v>
      </c>
      <c r="H10" s="11">
        <f>SUM(H5:H9)</f>
        <v>1</v>
      </c>
    </row>
    <row r="13" spans="1:11" x14ac:dyDescent="0.25">
      <c r="B13" s="142" t="s">
        <v>111</v>
      </c>
      <c r="C13" s="12"/>
      <c r="D13" s="12"/>
      <c r="E13" s="12"/>
      <c r="F13" s="12"/>
      <c r="G13" s="12"/>
      <c r="H13" s="12"/>
    </row>
    <row r="14" spans="1:11" x14ac:dyDescent="0.25">
      <c r="B14" s="138" t="s">
        <v>91</v>
      </c>
      <c r="C14" s="12"/>
      <c r="D14" s="12"/>
      <c r="E14" s="12"/>
      <c r="F14" s="12"/>
      <c r="G14" s="12"/>
      <c r="H14" s="12"/>
    </row>
    <row r="15" spans="1:11" x14ac:dyDescent="0.25">
      <c r="B15" s="12"/>
      <c r="C15" s="12"/>
      <c r="D15" s="12"/>
      <c r="E15" s="12"/>
      <c r="F15" s="12"/>
      <c r="G15" s="12"/>
      <c r="H15" s="12"/>
      <c r="I15" s="43"/>
      <c r="J15" s="43"/>
      <c r="K15" s="43"/>
    </row>
    <row r="16" spans="1:11" x14ac:dyDescent="0.25">
      <c r="B16" s="138" t="s">
        <v>112</v>
      </c>
      <c r="C16" s="12"/>
      <c r="D16" s="12"/>
      <c r="E16" s="12"/>
      <c r="F16" s="12"/>
      <c r="G16" s="12"/>
      <c r="H16" s="12"/>
      <c r="I16" s="43"/>
      <c r="J16" s="43"/>
      <c r="K16" s="43"/>
    </row>
    <row r="18" spans="2:8" x14ac:dyDescent="0.25">
      <c r="B18" s="7" t="s">
        <v>62</v>
      </c>
      <c r="C18" s="7" t="s">
        <v>30</v>
      </c>
      <c r="D18" s="4" t="s">
        <v>28</v>
      </c>
      <c r="F18" s="7" t="s">
        <v>74</v>
      </c>
      <c r="G18" s="7" t="s">
        <v>30</v>
      </c>
      <c r="H18" s="4" t="s">
        <v>28</v>
      </c>
    </row>
    <row r="19" spans="2:8" x14ac:dyDescent="0.25">
      <c r="B19" s="9"/>
      <c r="C19" s="10"/>
      <c r="D19" s="3">
        <f>C19/$C$30</f>
        <v>0</v>
      </c>
      <c r="F19" s="41"/>
      <c r="G19" s="8"/>
      <c r="H19" s="3">
        <f>G19/$G$30</f>
        <v>0</v>
      </c>
    </row>
    <row r="20" spans="2:8" x14ac:dyDescent="0.25">
      <c r="B20" s="6"/>
      <c r="C20" s="8"/>
      <c r="D20" s="3">
        <f t="shared" ref="D20:D29" si="0">C20/$C$30</f>
        <v>0</v>
      </c>
      <c r="F20" s="41"/>
      <c r="G20" s="8"/>
      <c r="H20" s="3">
        <f t="shared" ref="H20:H29" si="1">G20/$G$30</f>
        <v>0</v>
      </c>
    </row>
    <row r="21" spans="2:8" x14ac:dyDescent="0.25">
      <c r="B21" s="6"/>
      <c r="C21" s="8"/>
      <c r="D21" s="3">
        <f t="shared" si="0"/>
        <v>0</v>
      </c>
      <c r="F21" s="41"/>
      <c r="G21" s="8"/>
      <c r="H21" s="3">
        <f t="shared" si="1"/>
        <v>0</v>
      </c>
    </row>
    <row r="22" spans="2:8" x14ac:dyDescent="0.25">
      <c r="B22" s="6"/>
      <c r="C22" s="8"/>
      <c r="D22" s="3">
        <f t="shared" si="0"/>
        <v>0</v>
      </c>
      <c r="F22" s="41"/>
      <c r="G22" s="8"/>
      <c r="H22" s="3">
        <f t="shared" si="1"/>
        <v>0</v>
      </c>
    </row>
    <row r="23" spans="2:8" x14ac:dyDescent="0.25">
      <c r="B23" s="6"/>
      <c r="C23" s="8"/>
      <c r="D23" s="3">
        <f t="shared" si="0"/>
        <v>0</v>
      </c>
      <c r="F23" s="41"/>
      <c r="G23" s="8"/>
      <c r="H23" s="3">
        <f t="shared" si="1"/>
        <v>0</v>
      </c>
    </row>
    <row r="24" spans="2:8" x14ac:dyDescent="0.25">
      <c r="B24" s="6"/>
      <c r="C24" s="8"/>
      <c r="D24" s="3">
        <f t="shared" si="0"/>
        <v>0</v>
      </c>
      <c r="F24" s="41"/>
      <c r="G24" s="8"/>
      <c r="H24" s="3">
        <f t="shared" si="1"/>
        <v>0</v>
      </c>
    </row>
    <row r="25" spans="2:8" x14ac:dyDescent="0.25">
      <c r="B25" s="6"/>
      <c r="C25" s="8"/>
      <c r="D25" s="3">
        <f t="shared" si="0"/>
        <v>0</v>
      </c>
      <c r="F25" s="41"/>
      <c r="G25" s="8"/>
      <c r="H25" s="3">
        <f t="shared" si="1"/>
        <v>0</v>
      </c>
    </row>
    <row r="26" spans="2:8" x14ac:dyDescent="0.25">
      <c r="B26" s="6"/>
      <c r="C26" s="8"/>
      <c r="D26" s="3">
        <f t="shared" si="0"/>
        <v>0</v>
      </c>
      <c r="F26" s="41"/>
      <c r="G26" s="8"/>
      <c r="H26" s="3">
        <f t="shared" si="1"/>
        <v>0</v>
      </c>
    </row>
    <row r="27" spans="2:8" x14ac:dyDescent="0.25">
      <c r="B27" s="6"/>
      <c r="C27" s="8"/>
      <c r="D27" s="3">
        <f t="shared" si="0"/>
        <v>0</v>
      </c>
      <c r="F27" s="41"/>
      <c r="G27" s="8"/>
      <c r="H27" s="3">
        <f t="shared" si="1"/>
        <v>0</v>
      </c>
    </row>
    <row r="28" spans="2:8" x14ac:dyDescent="0.25">
      <c r="B28" s="6"/>
      <c r="C28" s="8"/>
      <c r="D28" s="3">
        <f t="shared" si="0"/>
        <v>0</v>
      </c>
      <c r="F28" s="41"/>
      <c r="G28" s="8"/>
      <c r="H28" s="3">
        <f t="shared" si="1"/>
        <v>0</v>
      </c>
    </row>
    <row r="29" spans="2:8" x14ac:dyDescent="0.25">
      <c r="B29" s="41" t="s">
        <v>114</v>
      </c>
      <c r="C29" s="42">
        <f>C30 - SUM(C19:C28)</f>
        <v>1</v>
      </c>
      <c r="D29" s="3">
        <f t="shared" si="0"/>
        <v>1</v>
      </c>
      <c r="F29" s="41" t="s">
        <v>115</v>
      </c>
      <c r="G29" s="42">
        <f>G30 - SUM(G19:G28)</f>
        <v>1</v>
      </c>
      <c r="H29" s="3">
        <f t="shared" si="1"/>
        <v>1</v>
      </c>
    </row>
    <row r="30" spans="2:8" x14ac:dyDescent="0.25">
      <c r="B30" s="10" t="s">
        <v>14</v>
      </c>
      <c r="C30" s="10">
        <f>'Project Summary'!$C$10</f>
        <v>1</v>
      </c>
      <c r="D30" s="11">
        <f>SUM(D19:D29)</f>
        <v>1</v>
      </c>
      <c r="F30" s="10" t="s">
        <v>14</v>
      </c>
      <c r="G30" s="10">
        <f>'Project Summary'!$C$10</f>
        <v>1</v>
      </c>
      <c r="H30" s="11">
        <f>SUM(H19:H29)</f>
        <v>1</v>
      </c>
    </row>
    <row r="32" spans="2:8" x14ac:dyDescent="0.25">
      <c r="B32" s="7" t="s">
        <v>63</v>
      </c>
      <c r="C32" s="7" t="s">
        <v>30</v>
      </c>
      <c r="D32" s="4" t="s">
        <v>28</v>
      </c>
      <c r="F32" s="7" t="s">
        <v>61</v>
      </c>
      <c r="G32" s="7" t="s">
        <v>30</v>
      </c>
      <c r="H32" s="4" t="s">
        <v>28</v>
      </c>
    </row>
    <row r="33" spans="2:8" x14ac:dyDescent="0.25">
      <c r="B33" s="9">
        <v>4</v>
      </c>
      <c r="C33" s="10">
        <v>1</v>
      </c>
      <c r="D33" s="3">
        <f>C33/'Project Summary'!$C$10</f>
        <v>1</v>
      </c>
      <c r="F33" s="9">
        <v>64</v>
      </c>
      <c r="G33" s="10">
        <v>1</v>
      </c>
      <c r="H33" s="3">
        <f>G33/'Project Summary'!$C$10</f>
        <v>1</v>
      </c>
    </row>
    <row r="34" spans="2:8" x14ac:dyDescent="0.25">
      <c r="B34" s="6"/>
      <c r="C34" s="8"/>
      <c r="D34" s="3">
        <f>C34/'Project Summary'!$C$10</f>
        <v>0</v>
      </c>
      <c r="F34" s="6"/>
      <c r="G34" s="8"/>
      <c r="H34" s="3">
        <f>G34/'Project Summary'!$C$10</f>
        <v>0</v>
      </c>
    </row>
    <row r="35" spans="2:8" x14ac:dyDescent="0.25">
      <c r="B35" s="6"/>
      <c r="C35" s="8"/>
      <c r="D35" s="3">
        <f>C35/'Project Summary'!$C$10</f>
        <v>0</v>
      </c>
      <c r="F35" s="41" t="s">
        <v>114</v>
      </c>
      <c r="G35" s="42">
        <f>G36 - SUM(G33:G34)</f>
        <v>0</v>
      </c>
      <c r="H35" s="3">
        <f>G35/'Project Summary'!$C$10</f>
        <v>0</v>
      </c>
    </row>
    <row r="36" spans="2:8" x14ac:dyDescent="0.25">
      <c r="B36" s="6"/>
      <c r="C36" s="8"/>
      <c r="D36" s="3">
        <f>C36/'Project Summary'!$C$10</f>
        <v>0</v>
      </c>
      <c r="F36" s="10" t="s">
        <v>14</v>
      </c>
      <c r="G36" s="10">
        <f>'Project Summary'!$C$10</f>
        <v>1</v>
      </c>
      <c r="H36" s="11">
        <f>SUM(H33:H35)</f>
        <v>1</v>
      </c>
    </row>
    <row r="37" spans="2:8" x14ac:dyDescent="0.25">
      <c r="B37" s="6"/>
      <c r="C37" s="8"/>
      <c r="D37" s="3">
        <f>C37/'Project Summary'!$C$10</f>
        <v>0</v>
      </c>
      <c r="F37" s="44"/>
      <c r="G37" s="44"/>
      <c r="H37" s="45"/>
    </row>
    <row r="38" spans="2:8" x14ac:dyDescent="0.25">
      <c r="B38" s="6"/>
      <c r="C38" s="8"/>
      <c r="D38" s="3">
        <f>C38/'Project Summary'!$C$10</f>
        <v>0</v>
      </c>
      <c r="F38" s="44"/>
      <c r="G38" s="44"/>
      <c r="H38" s="45"/>
    </row>
    <row r="39" spans="2:8" x14ac:dyDescent="0.25">
      <c r="B39" s="6"/>
      <c r="C39" s="8"/>
      <c r="D39" s="3">
        <f>C39/'Project Summary'!$C$10</f>
        <v>0</v>
      </c>
      <c r="F39" s="44"/>
      <c r="G39" s="44"/>
      <c r="H39" s="45"/>
    </row>
    <row r="40" spans="2:8" x14ac:dyDescent="0.25">
      <c r="B40" s="6"/>
      <c r="C40" s="8"/>
      <c r="D40" s="3">
        <f>C40/'Project Summary'!$C$10</f>
        <v>0</v>
      </c>
      <c r="F40" s="7" t="s">
        <v>59</v>
      </c>
      <c r="G40" s="7" t="s">
        <v>30</v>
      </c>
      <c r="H40" s="4" t="s">
        <v>28</v>
      </c>
    </row>
    <row r="41" spans="2:8" x14ac:dyDescent="0.25">
      <c r="B41" s="6"/>
      <c r="C41" s="8"/>
      <c r="D41" s="3">
        <f>C41/'Project Summary'!$C$10</f>
        <v>0</v>
      </c>
      <c r="F41" s="9"/>
      <c r="G41" s="10"/>
      <c r="H41" s="3">
        <f>G41/'Project Summary'!$C$10</f>
        <v>0</v>
      </c>
    </row>
    <row r="42" spans="2:8" x14ac:dyDescent="0.25">
      <c r="B42" s="6"/>
      <c r="C42" s="8"/>
      <c r="D42" s="3">
        <f>C42/'Project Summary'!$C$10</f>
        <v>0</v>
      </c>
      <c r="F42" s="6"/>
      <c r="G42" s="8"/>
      <c r="H42" s="3">
        <f>G42/'Project Summary'!$C$10</f>
        <v>0</v>
      </c>
    </row>
    <row r="43" spans="2:8" x14ac:dyDescent="0.25">
      <c r="B43" s="41" t="s">
        <v>114</v>
      </c>
      <c r="C43" s="42">
        <f>C44 - SUM(C33:C42)</f>
        <v>0</v>
      </c>
      <c r="D43" s="3">
        <f>C43/'Project Summary'!$C$10</f>
        <v>0</v>
      </c>
      <c r="F43" s="41" t="s">
        <v>114</v>
      </c>
      <c r="G43" s="42">
        <f>G44 - SUM(G41:G42)</f>
        <v>1</v>
      </c>
      <c r="H43" s="3">
        <f>G43/'Project Summary'!$C$10</f>
        <v>1</v>
      </c>
    </row>
    <row r="44" spans="2:8" x14ac:dyDescent="0.25">
      <c r="B44" s="10" t="s">
        <v>14</v>
      </c>
      <c r="C44" s="10">
        <f>'Project Summary'!$C$10</f>
        <v>1</v>
      </c>
      <c r="D44" s="11">
        <f>SUM(D33:D43)</f>
        <v>1</v>
      </c>
      <c r="F44" s="10" t="s">
        <v>14</v>
      </c>
      <c r="G44" s="10">
        <f>'Project Summary'!$C$10</f>
        <v>1</v>
      </c>
      <c r="H44" s="11">
        <f>SUM(H41:H43)</f>
        <v>1</v>
      </c>
    </row>
    <row r="46" spans="2:8" x14ac:dyDescent="0.25">
      <c r="B46" s="7" t="s">
        <v>64</v>
      </c>
      <c r="C46" s="7" t="s">
        <v>30</v>
      </c>
      <c r="D46" s="4" t="s">
        <v>28</v>
      </c>
      <c r="F46" s="7" t="s">
        <v>60</v>
      </c>
      <c r="G46" s="7" t="s">
        <v>30</v>
      </c>
      <c r="H46" s="4" t="s">
        <v>28</v>
      </c>
    </row>
    <row r="47" spans="2:8" x14ac:dyDescent="0.25">
      <c r="B47" s="157"/>
      <c r="C47" s="8"/>
      <c r="D47" s="3">
        <f>C47/'Project Summary'!$C$10</f>
        <v>0</v>
      </c>
      <c r="F47" s="9"/>
      <c r="G47" s="10"/>
      <c r="H47" s="3">
        <f>G47/'Project Summary'!$C$10</f>
        <v>0</v>
      </c>
    </row>
    <row r="48" spans="2:8" x14ac:dyDescent="0.25">
      <c r="B48" s="157"/>
      <c r="C48" s="8"/>
      <c r="D48" s="3">
        <f>C48/'Project Summary'!$C$10</f>
        <v>0</v>
      </c>
      <c r="F48" s="6"/>
      <c r="G48" s="8"/>
      <c r="H48" s="3">
        <f>G48/'Project Summary'!$C$10</f>
        <v>0</v>
      </c>
    </row>
    <row r="49" spans="2:8" x14ac:dyDescent="0.25">
      <c r="B49" s="157"/>
      <c r="C49" s="8"/>
      <c r="D49" s="3">
        <f>C49/'Project Summary'!$C$10</f>
        <v>0</v>
      </c>
      <c r="F49" s="6"/>
      <c r="G49" s="8"/>
      <c r="H49" s="3">
        <f>G49/'Project Summary'!$C$10</f>
        <v>0</v>
      </c>
    </row>
    <row r="50" spans="2:8" x14ac:dyDescent="0.25">
      <c r="B50" s="157"/>
      <c r="C50" s="8"/>
      <c r="D50" s="3">
        <f>C50/'Project Summary'!$C$10</f>
        <v>0</v>
      </c>
      <c r="F50" s="6"/>
      <c r="G50" s="8"/>
      <c r="H50" s="3">
        <f>G50/'Project Summary'!$C$10</f>
        <v>0</v>
      </c>
    </row>
    <row r="51" spans="2:8" x14ac:dyDescent="0.25">
      <c r="B51" s="157"/>
      <c r="C51" s="8"/>
      <c r="D51" s="3">
        <f>C51/'Project Summary'!$C$10</f>
        <v>0</v>
      </c>
      <c r="F51" s="6"/>
      <c r="G51" s="8"/>
      <c r="H51" s="3">
        <f>G51/'Project Summary'!$C$10</f>
        <v>0</v>
      </c>
    </row>
    <row r="52" spans="2:8" x14ac:dyDescent="0.25">
      <c r="B52" s="157"/>
      <c r="C52" s="8"/>
      <c r="D52" s="3">
        <f>C52/'Project Summary'!$C$10</f>
        <v>0</v>
      </c>
      <c r="F52" s="6"/>
      <c r="G52" s="8"/>
      <c r="H52" s="3">
        <f>G52/'Project Summary'!$C$10</f>
        <v>0</v>
      </c>
    </row>
    <row r="53" spans="2:8" x14ac:dyDescent="0.25">
      <c r="B53" s="157"/>
      <c r="C53" s="8"/>
      <c r="D53" s="3">
        <f>C53/'Project Summary'!$C$10</f>
        <v>0</v>
      </c>
      <c r="F53" s="6"/>
      <c r="G53" s="8"/>
      <c r="H53" s="3">
        <f>G53/'Project Summary'!$C$10</f>
        <v>0</v>
      </c>
    </row>
    <row r="54" spans="2:8" x14ac:dyDescent="0.25">
      <c r="B54" s="157"/>
      <c r="C54" s="8"/>
      <c r="D54" s="3">
        <f>C54/'Project Summary'!$C$10</f>
        <v>0</v>
      </c>
      <c r="F54" s="6"/>
      <c r="G54" s="8"/>
      <c r="H54" s="3">
        <f>G54/'Project Summary'!$C$10</f>
        <v>0</v>
      </c>
    </row>
    <row r="55" spans="2:8" x14ac:dyDescent="0.25">
      <c r="B55" s="157"/>
      <c r="C55" s="8"/>
      <c r="D55" s="3">
        <f>C55/'Project Summary'!$C$10</f>
        <v>0</v>
      </c>
      <c r="F55" s="6"/>
      <c r="G55" s="8"/>
      <c r="H55" s="3">
        <f>G55/'Project Summary'!$C$10</f>
        <v>0</v>
      </c>
    </row>
    <row r="56" spans="2:8" x14ac:dyDescent="0.25">
      <c r="B56" s="157"/>
      <c r="C56" s="8"/>
      <c r="D56" s="3">
        <f>C56/'Project Summary'!$C$10</f>
        <v>0</v>
      </c>
      <c r="F56" s="6"/>
      <c r="G56" s="8"/>
      <c r="H56" s="3">
        <f>G56/'Project Summary'!$C$10</f>
        <v>0</v>
      </c>
    </row>
    <row r="57" spans="2:8" x14ac:dyDescent="0.25">
      <c r="B57" s="41" t="s">
        <v>115</v>
      </c>
      <c r="C57" s="42">
        <f>C58 - SUM(C47:C56)</f>
        <v>1</v>
      </c>
      <c r="D57" s="3">
        <f>C57/'Project Summary'!$C$10</f>
        <v>1</v>
      </c>
      <c r="F57" s="41" t="s">
        <v>114</v>
      </c>
      <c r="G57" s="42">
        <f>G58 - SUM(G47:G56)</f>
        <v>1</v>
      </c>
      <c r="H57" s="3">
        <f>G57/'Project Summary'!$C$10</f>
        <v>1</v>
      </c>
    </row>
    <row r="58" spans="2:8" x14ac:dyDescent="0.25">
      <c r="B58" s="10" t="s">
        <v>14</v>
      </c>
      <c r="C58" s="10">
        <f>'Project Summary'!$C$10</f>
        <v>1</v>
      </c>
      <c r="D58" s="11">
        <f>SUM(D47:D57)</f>
        <v>1</v>
      </c>
      <c r="F58" s="10" t="s">
        <v>14</v>
      </c>
      <c r="G58" s="10">
        <f>'Project Summary'!$C$10</f>
        <v>1</v>
      </c>
      <c r="H58" s="11">
        <f>SUM(H47:H57)</f>
        <v>1</v>
      </c>
    </row>
    <row r="60" spans="2:8" x14ac:dyDescent="0.25">
      <c r="B60" s="7" t="s">
        <v>39</v>
      </c>
      <c r="C60" s="7" t="s">
        <v>30</v>
      </c>
      <c r="D60" s="4" t="s">
        <v>28</v>
      </c>
      <c r="F60" s="7" t="s">
        <v>40</v>
      </c>
      <c r="G60" s="7" t="s">
        <v>30</v>
      </c>
      <c r="H60" s="4" t="s">
        <v>28</v>
      </c>
    </row>
    <row r="61" spans="2:8" x14ac:dyDescent="0.25">
      <c r="B61" s="41" t="s">
        <v>141</v>
      </c>
      <c r="C61" s="8">
        <v>1</v>
      </c>
      <c r="D61" s="3">
        <f>C61/'Project Summary'!$C$10</f>
        <v>1</v>
      </c>
      <c r="F61" s="41"/>
      <c r="G61" s="8"/>
      <c r="H61" s="3">
        <f>G61/'Project Summary'!$C$10</f>
        <v>0</v>
      </c>
    </row>
    <row r="62" spans="2:8" x14ac:dyDescent="0.25">
      <c r="B62" s="41"/>
      <c r="C62" s="8"/>
      <c r="D62" s="3">
        <f>C62/'Project Summary'!$C$10</f>
        <v>0</v>
      </c>
      <c r="F62" s="41"/>
      <c r="G62" s="8"/>
      <c r="H62" s="3">
        <f>G62/'Project Summary'!$C$10</f>
        <v>0</v>
      </c>
    </row>
    <row r="63" spans="2:8" x14ac:dyDescent="0.25">
      <c r="B63" s="41"/>
      <c r="C63" s="8"/>
      <c r="D63" s="3">
        <f>C63/'Project Summary'!$C$10</f>
        <v>0</v>
      </c>
      <c r="F63" s="41"/>
      <c r="G63" s="8"/>
      <c r="H63" s="3">
        <f>G63/'Project Summary'!$C$10</f>
        <v>0</v>
      </c>
    </row>
    <row r="64" spans="2:8" x14ac:dyDescent="0.25">
      <c r="B64" s="41"/>
      <c r="C64" s="8"/>
      <c r="D64" s="3">
        <f>C64/'Project Summary'!$C$10</f>
        <v>0</v>
      </c>
      <c r="F64" s="41"/>
      <c r="G64" s="8"/>
      <c r="H64" s="3">
        <f>G64/'Project Summary'!$C$10</f>
        <v>0</v>
      </c>
    </row>
    <row r="65" spans="2:8" x14ac:dyDescent="0.25">
      <c r="B65" s="41"/>
      <c r="C65" s="8"/>
      <c r="D65" s="3">
        <f>C65/'Project Summary'!$C$10</f>
        <v>0</v>
      </c>
      <c r="F65" s="41"/>
      <c r="G65" s="8"/>
      <c r="H65" s="3">
        <f>G65/'Project Summary'!$C$10</f>
        <v>0</v>
      </c>
    </row>
    <row r="66" spans="2:8" x14ac:dyDescent="0.25">
      <c r="B66" s="41"/>
      <c r="C66" s="8"/>
      <c r="D66" s="3">
        <f>C66/'Project Summary'!$C$10</f>
        <v>0</v>
      </c>
      <c r="F66" s="41"/>
      <c r="G66" s="8"/>
      <c r="H66" s="3">
        <f>G66/'Project Summary'!$C$10</f>
        <v>0</v>
      </c>
    </row>
    <row r="67" spans="2:8" x14ac:dyDescent="0.25">
      <c r="B67" s="41"/>
      <c r="C67" s="8"/>
      <c r="D67" s="3">
        <f>C67/'Project Summary'!$C$10</f>
        <v>0</v>
      </c>
      <c r="F67" s="41"/>
      <c r="G67" s="8"/>
      <c r="H67" s="3">
        <f>G67/'Project Summary'!$C$10</f>
        <v>0</v>
      </c>
    </row>
    <row r="68" spans="2:8" x14ac:dyDescent="0.25">
      <c r="B68" s="41"/>
      <c r="C68" s="8"/>
      <c r="D68" s="3">
        <f>C68/'Project Summary'!$C$10</f>
        <v>0</v>
      </c>
      <c r="F68" s="41"/>
      <c r="G68" s="8"/>
      <c r="H68" s="3">
        <f>G68/'Project Summary'!$C$10</f>
        <v>0</v>
      </c>
    </row>
    <row r="69" spans="2:8" x14ac:dyDescent="0.25">
      <c r="B69" s="41"/>
      <c r="C69" s="8"/>
      <c r="D69" s="3">
        <f>C69/'Project Summary'!$C$10</f>
        <v>0</v>
      </c>
      <c r="F69" s="41"/>
      <c r="G69" s="8"/>
      <c r="H69" s="3">
        <f>G69/'Project Summary'!$C$10</f>
        <v>0</v>
      </c>
    </row>
    <row r="70" spans="2:8" x14ac:dyDescent="0.25">
      <c r="B70" s="41"/>
      <c r="C70" s="8"/>
      <c r="D70" s="3">
        <f>C70/'Project Summary'!$C$10</f>
        <v>0</v>
      </c>
      <c r="F70" s="41"/>
      <c r="G70" s="8"/>
      <c r="H70" s="3">
        <f>G70/'Project Summary'!$C$10</f>
        <v>0</v>
      </c>
    </row>
    <row r="71" spans="2:8" x14ac:dyDescent="0.25">
      <c r="B71" s="41"/>
      <c r="C71" s="8"/>
      <c r="D71" s="3">
        <f>C71/'Project Summary'!$C$10</f>
        <v>0</v>
      </c>
      <c r="F71" s="41"/>
      <c r="G71" s="8"/>
      <c r="H71" s="3">
        <f>G71/'Project Summary'!$C$10</f>
        <v>0</v>
      </c>
    </row>
    <row r="72" spans="2:8" x14ac:dyDescent="0.25">
      <c r="B72" s="41"/>
      <c r="C72" s="8"/>
      <c r="D72" s="3">
        <f>C72/'Project Summary'!$C$10</f>
        <v>0</v>
      </c>
      <c r="F72" s="41"/>
      <c r="G72" s="8"/>
      <c r="H72" s="3">
        <f>G72/'Project Summary'!$C$10</f>
        <v>0</v>
      </c>
    </row>
    <row r="73" spans="2:8" x14ac:dyDescent="0.25">
      <c r="B73" s="41"/>
      <c r="C73" s="8"/>
      <c r="D73" s="3">
        <f>C73/'Project Summary'!$C$10</f>
        <v>0</v>
      </c>
      <c r="F73" s="41"/>
      <c r="G73" s="8"/>
      <c r="H73" s="3">
        <f>G73/'Project Summary'!$C$10</f>
        <v>0</v>
      </c>
    </row>
    <row r="74" spans="2:8" x14ac:dyDescent="0.25">
      <c r="B74" s="41"/>
      <c r="C74" s="8"/>
      <c r="D74" s="3">
        <f>C74/'Project Summary'!$C$10</f>
        <v>0</v>
      </c>
      <c r="F74" s="41"/>
      <c r="G74" s="8"/>
      <c r="H74" s="3">
        <f>G74/'Project Summary'!$C$10</f>
        <v>0</v>
      </c>
    </row>
    <row r="75" spans="2:8" x14ac:dyDescent="0.25">
      <c r="B75" s="41"/>
      <c r="C75" s="8"/>
      <c r="D75" s="3">
        <f>C75/'Project Summary'!$C$10</f>
        <v>0</v>
      </c>
      <c r="F75" s="41"/>
      <c r="G75" s="8"/>
      <c r="H75" s="3">
        <f>G75/'Project Summary'!$C$10</f>
        <v>0</v>
      </c>
    </row>
    <row r="76" spans="2:8" x14ac:dyDescent="0.25">
      <c r="B76" s="41"/>
      <c r="C76" s="8"/>
      <c r="D76" s="3">
        <f>C76/'Project Summary'!$C$10</f>
        <v>0</v>
      </c>
      <c r="F76" s="41"/>
      <c r="G76" s="8"/>
      <c r="H76" s="3">
        <f>G76/'Project Summary'!$C$10</f>
        <v>0</v>
      </c>
    </row>
    <row r="77" spans="2:8" x14ac:dyDescent="0.25">
      <c r="B77" s="41"/>
      <c r="C77" s="8"/>
      <c r="D77" s="3">
        <f>C77/'Project Summary'!$C$10</f>
        <v>0</v>
      </c>
      <c r="F77" s="41"/>
      <c r="G77" s="8"/>
      <c r="H77" s="3">
        <f>G77/'Project Summary'!$C$10</f>
        <v>0</v>
      </c>
    </row>
    <row r="78" spans="2:8" x14ac:dyDescent="0.25">
      <c r="B78" s="41"/>
      <c r="C78" s="8"/>
      <c r="D78" s="3">
        <f>C78/'Project Summary'!$C$10</f>
        <v>0</v>
      </c>
      <c r="F78" s="41"/>
      <c r="G78" s="8"/>
      <c r="H78" s="3">
        <f>G78/'Project Summary'!$C$10</f>
        <v>0</v>
      </c>
    </row>
    <row r="79" spans="2:8" x14ac:dyDescent="0.25">
      <c r="B79" s="41"/>
      <c r="C79" s="8"/>
      <c r="D79" s="3">
        <f>C79/'Project Summary'!$C$10</f>
        <v>0</v>
      </c>
      <c r="F79" s="41"/>
      <c r="G79" s="8"/>
      <c r="H79" s="3">
        <f>G79/'Project Summary'!$C$10</f>
        <v>0</v>
      </c>
    </row>
    <row r="80" spans="2:8" x14ac:dyDescent="0.25">
      <c r="B80" s="41"/>
      <c r="C80" s="8"/>
      <c r="D80" s="3">
        <f>C80/'Project Summary'!$C$10</f>
        <v>0</v>
      </c>
      <c r="F80" s="41"/>
      <c r="G80" s="8"/>
      <c r="H80" s="3">
        <f>G80/'Project Summary'!$C$10</f>
        <v>0</v>
      </c>
    </row>
    <row r="81" spans="2:8" x14ac:dyDescent="0.25">
      <c r="B81" s="41"/>
      <c r="C81" s="8"/>
      <c r="D81" s="3">
        <f>C81/'Project Summary'!$C$10</f>
        <v>0</v>
      </c>
      <c r="F81" s="41"/>
      <c r="G81" s="8"/>
      <c r="H81" s="3">
        <f>G81/'Project Summary'!$C$10</f>
        <v>0</v>
      </c>
    </row>
    <row r="82" spans="2:8" x14ac:dyDescent="0.25">
      <c r="B82" s="41"/>
      <c r="C82" s="8"/>
      <c r="D82" s="3">
        <f>C82/'Project Summary'!$C$10</f>
        <v>0</v>
      </c>
      <c r="F82" s="41"/>
      <c r="G82" s="8"/>
      <c r="H82" s="3">
        <f>G82/'Project Summary'!$C$10</f>
        <v>0</v>
      </c>
    </row>
    <row r="83" spans="2:8" x14ac:dyDescent="0.25">
      <c r="B83" s="41"/>
      <c r="C83" s="8"/>
      <c r="D83" s="3">
        <f>C83/'Project Summary'!$C$10</f>
        <v>0</v>
      </c>
      <c r="F83" s="41"/>
      <c r="G83" s="8"/>
      <c r="H83" s="3">
        <f>G83/'Project Summary'!$C$10</f>
        <v>0</v>
      </c>
    </row>
    <row r="84" spans="2:8" x14ac:dyDescent="0.25">
      <c r="B84" s="41"/>
      <c r="C84" s="8"/>
      <c r="D84" s="3">
        <f>C84/'Project Summary'!$C$10</f>
        <v>0</v>
      </c>
      <c r="F84" s="41"/>
      <c r="G84" s="8"/>
      <c r="H84" s="3">
        <f>G84/'Project Summary'!$C$10</f>
        <v>0</v>
      </c>
    </row>
    <row r="85" spans="2:8" x14ac:dyDescent="0.25">
      <c r="B85" s="41" t="s">
        <v>115</v>
      </c>
      <c r="C85" s="42">
        <f>C86 - SUM(C61:C84)</f>
        <v>0</v>
      </c>
      <c r="D85" s="3">
        <f>C85/'Project Summary'!$C$10</f>
        <v>0</v>
      </c>
      <c r="F85" s="41" t="s">
        <v>115</v>
      </c>
      <c r="G85" s="42">
        <f>G86 - SUM(G61:G84)</f>
        <v>1</v>
      </c>
      <c r="H85" s="3">
        <f>G85/'Project Summary'!$C$10</f>
        <v>1</v>
      </c>
    </row>
    <row r="86" spans="2:8" x14ac:dyDescent="0.25">
      <c r="B86" s="10" t="s">
        <v>14</v>
      </c>
      <c r="C86" s="10">
        <f>'Project Summary'!$C$10</f>
        <v>1</v>
      </c>
      <c r="D86" s="11">
        <f>SUM(D61:D85)</f>
        <v>1</v>
      </c>
      <c r="F86" s="10" t="s">
        <v>14</v>
      </c>
      <c r="G86" s="10">
        <f>'Project Summary'!$C$10</f>
        <v>1</v>
      </c>
      <c r="H86" s="11">
        <f>SUM(H61:H85)</f>
        <v>1</v>
      </c>
    </row>
    <row r="88" spans="2:8" x14ac:dyDescent="0.25">
      <c r="B88" s="7" t="s">
        <v>67</v>
      </c>
      <c r="C88" s="7" t="s">
        <v>30</v>
      </c>
      <c r="D88" s="4" t="s">
        <v>28</v>
      </c>
      <c r="F88" s="7" t="s">
        <v>68</v>
      </c>
      <c r="G88" s="7" t="s">
        <v>30</v>
      </c>
      <c r="H88" s="4" t="s">
        <v>28</v>
      </c>
    </row>
    <row r="89" spans="2:8" x14ac:dyDescent="0.25">
      <c r="B89" s="41"/>
      <c r="C89" s="8"/>
      <c r="D89" s="3">
        <f>C89/'Project Summary'!$C$10</f>
        <v>0</v>
      </c>
      <c r="F89" s="41"/>
      <c r="G89" s="8"/>
      <c r="H89" s="3">
        <f>G89/'Project Summary'!$C$10</f>
        <v>0</v>
      </c>
    </row>
    <row r="90" spans="2:8" x14ac:dyDescent="0.25">
      <c r="B90" s="41"/>
      <c r="C90" s="8"/>
      <c r="D90" s="3">
        <f>C90/'Project Summary'!$C$10</f>
        <v>0</v>
      </c>
      <c r="F90" s="41"/>
      <c r="G90" s="8"/>
      <c r="H90" s="3">
        <f>G90/'Project Summary'!$C$10</f>
        <v>0</v>
      </c>
    </row>
    <row r="91" spans="2:8" x14ac:dyDescent="0.25">
      <c r="B91" s="41"/>
      <c r="C91" s="8"/>
      <c r="D91" s="3">
        <f>C91/'Project Summary'!$C$10</f>
        <v>0</v>
      </c>
      <c r="F91" s="41"/>
      <c r="G91" s="8"/>
      <c r="H91" s="3">
        <f>G91/'Project Summary'!$C$10</f>
        <v>0</v>
      </c>
    </row>
    <row r="92" spans="2:8" x14ac:dyDescent="0.25">
      <c r="B92" s="41"/>
      <c r="C92" s="8"/>
      <c r="D92" s="3">
        <f>C92/'Project Summary'!$C$10</f>
        <v>0</v>
      </c>
      <c r="F92" s="41"/>
      <c r="G92" s="8"/>
      <c r="H92" s="3">
        <f>G92/'Project Summary'!$C$10</f>
        <v>0</v>
      </c>
    </row>
    <row r="93" spans="2:8" x14ac:dyDescent="0.25">
      <c r="B93" s="41"/>
      <c r="C93" s="8"/>
      <c r="D93" s="3">
        <f>C93/'Project Summary'!$C$10</f>
        <v>0</v>
      </c>
      <c r="F93" s="41"/>
      <c r="G93" s="8"/>
      <c r="H93" s="3">
        <f>G93/'Project Summary'!$C$10</f>
        <v>0</v>
      </c>
    </row>
    <row r="94" spans="2:8" x14ac:dyDescent="0.25">
      <c r="B94" s="41"/>
      <c r="C94" s="8"/>
      <c r="D94" s="3">
        <f>C94/'Project Summary'!$C$10</f>
        <v>0</v>
      </c>
      <c r="F94" s="41"/>
      <c r="G94" s="8"/>
      <c r="H94" s="3">
        <f>G94/'Project Summary'!$C$10</f>
        <v>0</v>
      </c>
    </row>
    <row r="95" spans="2:8" x14ac:dyDescent="0.25">
      <c r="B95" s="41"/>
      <c r="C95" s="8"/>
      <c r="D95" s="3">
        <f>C95/'Project Summary'!$C$10</f>
        <v>0</v>
      </c>
      <c r="F95" s="41"/>
      <c r="G95" s="8"/>
      <c r="H95" s="3">
        <f>G95/'Project Summary'!$C$10</f>
        <v>0</v>
      </c>
    </row>
    <row r="96" spans="2:8" x14ac:dyDescent="0.25">
      <c r="B96" s="41"/>
      <c r="C96" s="8"/>
      <c r="D96" s="3">
        <f>C96/'Project Summary'!$C$10</f>
        <v>0</v>
      </c>
      <c r="F96" s="41"/>
      <c r="G96" s="8"/>
      <c r="H96" s="3">
        <f>G96/'Project Summary'!$C$10</f>
        <v>0</v>
      </c>
    </row>
    <row r="97" spans="2:8" x14ac:dyDescent="0.25">
      <c r="B97" s="41"/>
      <c r="C97" s="8"/>
      <c r="D97" s="3">
        <f>C97/'Project Summary'!$C$10</f>
        <v>0</v>
      </c>
      <c r="F97" s="41"/>
      <c r="G97" s="8"/>
      <c r="H97" s="3">
        <f>G97/'Project Summary'!$C$10</f>
        <v>0</v>
      </c>
    </row>
    <row r="98" spans="2:8" x14ac:dyDescent="0.25">
      <c r="B98" s="41"/>
      <c r="C98" s="8"/>
      <c r="D98" s="3">
        <f>C98/'Project Summary'!$C$10</f>
        <v>0</v>
      </c>
      <c r="F98" s="41"/>
      <c r="G98" s="8"/>
      <c r="H98" s="3">
        <f>G98/'Project Summary'!$C$10</f>
        <v>0</v>
      </c>
    </row>
    <row r="99" spans="2:8" x14ac:dyDescent="0.25">
      <c r="B99" s="41" t="s">
        <v>115</v>
      </c>
      <c r="C99" s="42">
        <f>C100 - SUM(C89:C98)</f>
        <v>1</v>
      </c>
      <c r="D99" s="3">
        <f>C99/'Project Summary'!$C$10</f>
        <v>1</v>
      </c>
      <c r="F99" s="41" t="s">
        <v>115</v>
      </c>
      <c r="G99" s="42">
        <f>G100 - SUM(G89:G98)</f>
        <v>1</v>
      </c>
      <c r="H99" s="3">
        <f>G99/'Project Summary'!$C$10</f>
        <v>1</v>
      </c>
    </row>
    <row r="100" spans="2:8" x14ac:dyDescent="0.25">
      <c r="B100" s="10" t="s">
        <v>14</v>
      </c>
      <c r="C100" s="10">
        <f>'Project Summary'!$C$10</f>
        <v>1</v>
      </c>
      <c r="D100" s="11">
        <f>SUM(D89:D99)</f>
        <v>1</v>
      </c>
      <c r="F100" s="10" t="s">
        <v>14</v>
      </c>
      <c r="G100" s="10">
        <f>'Project Summary'!$C$10</f>
        <v>1</v>
      </c>
      <c r="H100" s="11">
        <f>SUM(H89:H99)</f>
        <v>1</v>
      </c>
    </row>
    <row r="102" spans="2:8" x14ac:dyDescent="0.25">
      <c r="B102" s="7" t="s">
        <v>66</v>
      </c>
      <c r="C102" s="7" t="s">
        <v>30</v>
      </c>
      <c r="D102" s="4" t="s">
        <v>28</v>
      </c>
      <c r="F102" s="7" t="s">
        <v>65</v>
      </c>
      <c r="G102" s="7" t="s">
        <v>30</v>
      </c>
      <c r="H102" s="4" t="s">
        <v>28</v>
      </c>
    </row>
    <row r="103" spans="2:8" x14ac:dyDescent="0.25">
      <c r="B103" s="41"/>
      <c r="C103" s="8"/>
      <c r="D103" s="3">
        <f>C103/'Project Summary'!$C$10</f>
        <v>0</v>
      </c>
      <c r="F103" s="41"/>
      <c r="G103" s="8"/>
      <c r="H103" s="3">
        <f>G103/'Project Summary'!$C$10</f>
        <v>0</v>
      </c>
    </row>
    <row r="104" spans="2:8" x14ac:dyDescent="0.25">
      <c r="B104" s="41"/>
      <c r="C104" s="8"/>
      <c r="D104" s="3">
        <f>C104/'Project Summary'!$C$10</f>
        <v>0</v>
      </c>
      <c r="F104" s="41"/>
      <c r="G104" s="8"/>
      <c r="H104" s="3">
        <f>G104/'Project Summary'!$C$10</f>
        <v>0</v>
      </c>
    </row>
    <row r="105" spans="2:8" x14ac:dyDescent="0.25">
      <c r="B105" s="41"/>
      <c r="C105" s="8"/>
      <c r="D105" s="3">
        <f>C105/'Project Summary'!$C$10</f>
        <v>0</v>
      </c>
      <c r="F105" s="41"/>
      <c r="G105" s="8"/>
      <c r="H105" s="3">
        <f>G105/'Project Summary'!$C$10</f>
        <v>0</v>
      </c>
    </row>
    <row r="106" spans="2:8" x14ac:dyDescent="0.25">
      <c r="B106" s="41"/>
      <c r="C106" s="8"/>
      <c r="D106" s="3">
        <f>C106/'Project Summary'!$C$10</f>
        <v>0</v>
      </c>
      <c r="F106" s="41"/>
      <c r="G106" s="8"/>
      <c r="H106" s="3">
        <f>G106/'Project Summary'!$C$10</f>
        <v>0</v>
      </c>
    </row>
    <row r="107" spans="2:8" x14ac:dyDescent="0.25">
      <c r="B107" s="41"/>
      <c r="C107" s="8"/>
      <c r="D107" s="3">
        <f>C107/'Project Summary'!$C$10</f>
        <v>0</v>
      </c>
      <c r="F107" s="41"/>
      <c r="G107" s="8"/>
      <c r="H107" s="3">
        <f>G107/'Project Summary'!$C$10</f>
        <v>0</v>
      </c>
    </row>
    <row r="108" spans="2:8" x14ac:dyDescent="0.25">
      <c r="B108" s="41"/>
      <c r="C108" s="8"/>
      <c r="D108" s="3">
        <f>C108/'Project Summary'!$C$10</f>
        <v>0</v>
      </c>
      <c r="F108" s="41"/>
      <c r="G108" s="8"/>
      <c r="H108" s="3">
        <f>G108/'Project Summary'!$C$10</f>
        <v>0</v>
      </c>
    </row>
    <row r="109" spans="2:8" x14ac:dyDescent="0.25">
      <c r="B109" s="41"/>
      <c r="C109" s="8"/>
      <c r="D109" s="3">
        <f>C109/'Project Summary'!$C$10</f>
        <v>0</v>
      </c>
      <c r="F109" s="41"/>
      <c r="G109" s="8"/>
      <c r="H109" s="3">
        <f>G109/'Project Summary'!$C$10</f>
        <v>0</v>
      </c>
    </row>
    <row r="110" spans="2:8" x14ac:dyDescent="0.25">
      <c r="B110" s="41"/>
      <c r="C110" s="8"/>
      <c r="D110" s="3">
        <f>C110/'Project Summary'!$C$10</f>
        <v>0</v>
      </c>
      <c r="F110" s="41"/>
      <c r="G110" s="8"/>
      <c r="H110" s="3">
        <f>G110/'Project Summary'!$C$10</f>
        <v>0</v>
      </c>
    </row>
    <row r="111" spans="2:8" x14ac:dyDescent="0.25">
      <c r="B111" s="41"/>
      <c r="C111" s="8"/>
      <c r="D111" s="3">
        <f>C111/'Project Summary'!$C$10</f>
        <v>0</v>
      </c>
      <c r="F111" s="41"/>
      <c r="G111" s="8"/>
      <c r="H111" s="3">
        <f>G111/'Project Summary'!$C$10</f>
        <v>0</v>
      </c>
    </row>
    <row r="112" spans="2:8" x14ac:dyDescent="0.25">
      <c r="B112" s="41"/>
      <c r="C112" s="8"/>
      <c r="D112" s="3">
        <f>C112/'Project Summary'!$C$10</f>
        <v>0</v>
      </c>
      <c r="F112" s="41"/>
      <c r="G112" s="8"/>
      <c r="H112" s="3">
        <f>G112/'Project Summary'!$C$10</f>
        <v>0</v>
      </c>
    </row>
    <row r="113" spans="2:8" x14ac:dyDescent="0.25">
      <c r="B113" s="41" t="s">
        <v>115</v>
      </c>
      <c r="C113" s="42">
        <f>C114 - SUM(C103:C112)</f>
        <v>1</v>
      </c>
      <c r="D113" s="3">
        <f>C113/'Project Summary'!$C$10</f>
        <v>1</v>
      </c>
      <c r="F113" s="41" t="s">
        <v>115</v>
      </c>
      <c r="G113" s="42">
        <f>G114 - SUM(G103:G112)</f>
        <v>1</v>
      </c>
      <c r="H113" s="3">
        <f>G113/'Project Summary'!$C$10</f>
        <v>1</v>
      </c>
    </row>
    <row r="114" spans="2:8" x14ac:dyDescent="0.25">
      <c r="B114" s="10" t="s">
        <v>14</v>
      </c>
      <c r="C114" s="10">
        <f>'Project Summary'!$C$10</f>
        <v>1</v>
      </c>
      <c r="D114" s="11">
        <f>SUM(D103:D113)</f>
        <v>1</v>
      </c>
      <c r="F114" s="10" t="s">
        <v>14</v>
      </c>
      <c r="G114" s="10">
        <f>'Project Summary'!$C$10</f>
        <v>1</v>
      </c>
      <c r="H114" s="11">
        <f>SUM(H103:H113)</f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RefreshUserSystem">
          <controlPr defaultSize="0" autoLine="0" r:id="rId5">
            <anchor moveWithCells="1">
              <from>
                <xdr:col>2</xdr:col>
                <xdr:colOff>19050</xdr:colOff>
                <xdr:row>0</xdr:row>
                <xdr:rowOff>161925</xdr:rowOff>
              </from>
              <to>
                <xdr:col>3</xdr:col>
                <xdr:colOff>285750</xdr:colOff>
                <xdr:row>1</xdr:row>
                <xdr:rowOff>323850</xdr:rowOff>
              </to>
            </anchor>
          </controlPr>
        </control>
      </mc:Choice>
      <mc:Fallback>
        <control shapeId="5121" r:id="rId4" name="buttonRefreshUserSys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117"/>
  <sheetViews>
    <sheetView zoomScaleNormal="100" workbookViewId="0">
      <selection activeCell="R108" sqref="R108"/>
    </sheetView>
  </sheetViews>
  <sheetFormatPr defaultRowHeight="15" x14ac:dyDescent="0.25"/>
  <cols>
    <col min="1" max="1" width="6.140625" customWidth="1"/>
    <col min="2" max="2" width="16.28515625" customWidth="1"/>
    <col min="3" max="3" width="15.42578125" customWidth="1"/>
    <col min="4" max="4" width="12.42578125" customWidth="1"/>
    <col min="5" max="5" width="13.5703125" customWidth="1"/>
    <col min="6" max="6" width="10.140625" customWidth="1"/>
    <col min="7" max="7" width="9.140625" customWidth="1"/>
  </cols>
  <sheetData>
    <row r="1" spans="1:19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2" spans="1:19" ht="28.5" x14ac:dyDescent="0.45">
      <c r="A2" s="55"/>
      <c r="B2" s="57" t="s">
        <v>45</v>
      </c>
      <c r="C2" s="56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</row>
    <row r="4" spans="1:19" x14ac:dyDescent="0.25">
      <c r="B4" s="64" t="s">
        <v>100</v>
      </c>
      <c r="C4" s="64"/>
      <c r="D4" s="64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</row>
    <row r="6" spans="1:19" x14ac:dyDescent="0.25">
      <c r="B6" s="31" t="s">
        <v>29</v>
      </c>
      <c r="C6" s="89" t="s">
        <v>30</v>
      </c>
      <c r="D6" s="150" t="s">
        <v>120</v>
      </c>
      <c r="E6" s="44"/>
    </row>
    <row r="7" spans="1:19" x14ac:dyDescent="0.25">
      <c r="B7" s="101">
        <v>1</v>
      </c>
      <c r="C7" s="90">
        <v>1</v>
      </c>
      <c r="D7" s="151">
        <f t="shared" ref="D7:D30" si="0">C7/SUM($C$7:$C$30)</f>
        <v>1</v>
      </c>
      <c r="E7" s="45"/>
    </row>
    <row r="8" spans="1:19" x14ac:dyDescent="0.25">
      <c r="B8" s="101">
        <v>2</v>
      </c>
      <c r="C8" s="90">
        <v>0</v>
      </c>
      <c r="D8" s="151">
        <f t="shared" si="0"/>
        <v>0</v>
      </c>
      <c r="E8" s="45"/>
    </row>
    <row r="9" spans="1:19" x14ac:dyDescent="0.25">
      <c r="B9" s="101">
        <v>3</v>
      </c>
      <c r="C9" s="90">
        <v>0</v>
      </c>
      <c r="D9" s="151">
        <f t="shared" si="0"/>
        <v>0</v>
      </c>
      <c r="E9" s="45"/>
    </row>
    <row r="10" spans="1:19" x14ac:dyDescent="0.25">
      <c r="B10" s="101">
        <v>4</v>
      </c>
      <c r="C10" s="90">
        <v>0</v>
      </c>
      <c r="D10" s="151">
        <f t="shared" si="0"/>
        <v>0</v>
      </c>
      <c r="E10" s="45"/>
    </row>
    <row r="11" spans="1:19" x14ac:dyDescent="0.25">
      <c r="B11" s="101">
        <v>5</v>
      </c>
      <c r="C11" s="90">
        <v>0</v>
      </c>
      <c r="D11" s="151">
        <f t="shared" si="0"/>
        <v>0</v>
      </c>
      <c r="E11" s="45"/>
    </row>
    <row r="12" spans="1:19" x14ac:dyDescent="0.25">
      <c r="B12" s="101">
        <v>6</v>
      </c>
      <c r="C12" s="90">
        <v>0</v>
      </c>
      <c r="D12" s="151">
        <f t="shared" si="0"/>
        <v>0</v>
      </c>
      <c r="E12" s="45"/>
    </row>
    <row r="13" spans="1:19" x14ac:dyDescent="0.25">
      <c r="B13" s="101">
        <v>7</v>
      </c>
      <c r="C13" s="90">
        <v>0</v>
      </c>
      <c r="D13" s="151">
        <f t="shared" si="0"/>
        <v>0</v>
      </c>
      <c r="E13" s="45"/>
    </row>
    <row r="14" spans="1:19" x14ac:dyDescent="0.25">
      <c r="B14" s="101">
        <v>8</v>
      </c>
      <c r="C14" s="90">
        <v>0</v>
      </c>
      <c r="D14" s="151">
        <f t="shared" si="0"/>
        <v>0</v>
      </c>
      <c r="E14" s="45"/>
    </row>
    <row r="15" spans="1:19" x14ac:dyDescent="0.25">
      <c r="B15" s="101">
        <v>9</v>
      </c>
      <c r="C15" s="90">
        <v>0</v>
      </c>
      <c r="D15" s="151">
        <f t="shared" si="0"/>
        <v>0</v>
      </c>
      <c r="E15" s="45"/>
    </row>
    <row r="16" spans="1:19" x14ac:dyDescent="0.25">
      <c r="B16" s="101">
        <v>10</v>
      </c>
      <c r="C16" s="90">
        <v>0</v>
      </c>
      <c r="D16" s="151">
        <f t="shared" si="0"/>
        <v>0</v>
      </c>
      <c r="E16" s="45"/>
    </row>
    <row r="17" spans="2:19" x14ac:dyDescent="0.25">
      <c r="B17" s="101">
        <v>11</v>
      </c>
      <c r="C17" s="90">
        <v>0</v>
      </c>
      <c r="D17" s="151">
        <f t="shared" si="0"/>
        <v>0</v>
      </c>
      <c r="E17" s="45"/>
    </row>
    <row r="18" spans="2:19" x14ac:dyDescent="0.25">
      <c r="B18" s="101">
        <v>12</v>
      </c>
      <c r="C18" s="90">
        <v>0</v>
      </c>
      <c r="D18" s="151">
        <f t="shared" si="0"/>
        <v>0</v>
      </c>
      <c r="E18" s="45"/>
    </row>
    <row r="19" spans="2:19" x14ac:dyDescent="0.25">
      <c r="B19" s="101">
        <v>13</v>
      </c>
      <c r="C19" s="90">
        <v>0</v>
      </c>
      <c r="D19" s="151">
        <f t="shared" si="0"/>
        <v>0</v>
      </c>
      <c r="E19" s="45"/>
    </row>
    <row r="20" spans="2:19" x14ac:dyDescent="0.25">
      <c r="B20" s="101">
        <v>14</v>
      </c>
      <c r="C20" s="90">
        <v>0</v>
      </c>
      <c r="D20" s="151">
        <f t="shared" si="0"/>
        <v>0</v>
      </c>
      <c r="E20" s="45"/>
    </row>
    <row r="21" spans="2:19" x14ac:dyDescent="0.25">
      <c r="B21" s="101">
        <v>15</v>
      </c>
      <c r="C21" s="90">
        <v>0</v>
      </c>
      <c r="D21" s="151">
        <f t="shared" si="0"/>
        <v>0</v>
      </c>
      <c r="E21" s="45"/>
    </row>
    <row r="22" spans="2:19" x14ac:dyDescent="0.25">
      <c r="B22" s="101">
        <v>16</v>
      </c>
      <c r="C22" s="90">
        <v>0</v>
      </c>
      <c r="D22" s="151">
        <f t="shared" si="0"/>
        <v>0</v>
      </c>
      <c r="E22" s="45"/>
    </row>
    <row r="23" spans="2:19" x14ac:dyDescent="0.25">
      <c r="B23" s="101">
        <v>17</v>
      </c>
      <c r="C23" s="90">
        <v>0</v>
      </c>
      <c r="D23" s="151">
        <f t="shared" si="0"/>
        <v>0</v>
      </c>
      <c r="E23" s="45"/>
    </row>
    <row r="24" spans="2:19" x14ac:dyDescent="0.25">
      <c r="B24" s="101">
        <v>18</v>
      </c>
      <c r="C24" s="90">
        <v>0</v>
      </c>
      <c r="D24" s="151">
        <f t="shared" si="0"/>
        <v>0</v>
      </c>
      <c r="E24" s="45"/>
    </row>
    <row r="25" spans="2:19" x14ac:dyDescent="0.25">
      <c r="B25" s="101">
        <v>19</v>
      </c>
      <c r="C25" s="90">
        <v>0</v>
      </c>
      <c r="D25" s="151">
        <f t="shared" si="0"/>
        <v>0</v>
      </c>
      <c r="E25" s="45"/>
    </row>
    <row r="26" spans="2:19" x14ac:dyDescent="0.25">
      <c r="B26" s="101">
        <v>20</v>
      </c>
      <c r="C26" s="90">
        <v>0</v>
      </c>
      <c r="D26" s="151">
        <f t="shared" si="0"/>
        <v>0</v>
      </c>
      <c r="E26" s="45"/>
      <c r="G26" s="147"/>
      <c r="H26" s="43"/>
      <c r="I26" s="43"/>
      <c r="J26" s="43"/>
      <c r="K26" s="43"/>
      <c r="L26" s="43"/>
      <c r="M26" s="43"/>
      <c r="N26" s="43"/>
      <c r="O26" s="148"/>
      <c r="P26" s="148"/>
    </row>
    <row r="27" spans="2:19" x14ac:dyDescent="0.25">
      <c r="B27" s="32" t="s">
        <v>93</v>
      </c>
      <c r="C27" s="90">
        <v>0</v>
      </c>
      <c r="D27" s="151">
        <f t="shared" si="0"/>
        <v>0</v>
      </c>
      <c r="E27" s="45"/>
      <c r="G27" s="43"/>
      <c r="H27" s="43"/>
      <c r="I27" s="43"/>
      <c r="J27" s="43"/>
      <c r="K27" s="43"/>
      <c r="L27" s="43"/>
      <c r="M27" s="43"/>
      <c r="N27" s="149"/>
      <c r="O27" s="148"/>
      <c r="P27" s="148"/>
    </row>
    <row r="28" spans="2:19" x14ac:dyDescent="0.25">
      <c r="B28" s="32" t="s">
        <v>94</v>
      </c>
      <c r="C28" s="90">
        <v>0</v>
      </c>
      <c r="D28" s="151">
        <f t="shared" si="0"/>
        <v>0</v>
      </c>
      <c r="E28" s="45"/>
      <c r="G28" s="43"/>
      <c r="H28" s="43"/>
      <c r="I28" s="43"/>
      <c r="J28" s="43"/>
      <c r="K28" s="43"/>
      <c r="L28" s="43"/>
      <c r="M28" s="43"/>
      <c r="N28" s="149"/>
      <c r="O28" s="148"/>
      <c r="P28" s="148"/>
    </row>
    <row r="29" spans="2:19" x14ac:dyDescent="0.25">
      <c r="B29" s="32" t="s">
        <v>92</v>
      </c>
      <c r="C29" s="90">
        <v>0</v>
      </c>
      <c r="D29" s="151">
        <f t="shared" si="0"/>
        <v>0</v>
      </c>
      <c r="E29" s="45"/>
      <c r="G29" s="43"/>
      <c r="H29" s="43"/>
      <c r="I29" s="43"/>
      <c r="J29" s="43"/>
      <c r="K29" s="43"/>
      <c r="L29" s="43"/>
      <c r="M29" s="43"/>
      <c r="N29" s="149"/>
      <c r="O29" s="148"/>
      <c r="P29" s="148"/>
    </row>
    <row r="30" spans="2:19" x14ac:dyDescent="0.25">
      <c r="B30" s="32" t="s">
        <v>31</v>
      </c>
      <c r="C30" s="90">
        <v>0</v>
      </c>
      <c r="D30" s="151">
        <f t="shared" si="0"/>
        <v>0</v>
      </c>
      <c r="E30" s="45"/>
      <c r="G30" s="43"/>
      <c r="H30" s="43"/>
      <c r="I30" s="43"/>
      <c r="J30" s="43"/>
      <c r="K30" s="43"/>
      <c r="L30" s="43"/>
      <c r="M30" s="43"/>
      <c r="N30" s="149"/>
      <c r="O30" s="148"/>
      <c r="P30" s="148"/>
    </row>
    <row r="32" spans="2:19" x14ac:dyDescent="0.25">
      <c r="B32" s="64" t="s">
        <v>51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</row>
    <row r="34" spans="2:3" x14ac:dyDescent="0.25">
      <c r="B34" s="23" t="s">
        <v>15</v>
      </c>
      <c r="C34" s="24" t="s">
        <v>17</v>
      </c>
    </row>
    <row r="35" spans="2:3" x14ac:dyDescent="0.25">
      <c r="B35" s="26">
        <v>0</v>
      </c>
      <c r="C35" s="52">
        <v>0</v>
      </c>
    </row>
    <row r="36" spans="2:3" x14ac:dyDescent="0.25">
      <c r="B36" s="26">
        <v>4.1666666666666664E-2</v>
      </c>
      <c r="C36" s="52">
        <v>0</v>
      </c>
    </row>
    <row r="37" spans="2:3" x14ac:dyDescent="0.25">
      <c r="B37" s="26">
        <v>8.3333333333333301E-2</v>
      </c>
      <c r="C37" s="52">
        <v>0</v>
      </c>
    </row>
    <row r="38" spans="2:3" x14ac:dyDescent="0.25">
      <c r="B38" s="26">
        <v>0.125</v>
      </c>
      <c r="C38" s="52">
        <v>0</v>
      </c>
    </row>
    <row r="39" spans="2:3" x14ac:dyDescent="0.25">
      <c r="B39" s="26">
        <v>0.16666666666666699</v>
      </c>
      <c r="C39" s="52">
        <v>0</v>
      </c>
    </row>
    <row r="40" spans="2:3" x14ac:dyDescent="0.25">
      <c r="B40" s="26">
        <v>0.20833333333333301</v>
      </c>
      <c r="C40" s="52">
        <v>0</v>
      </c>
    </row>
    <row r="41" spans="2:3" x14ac:dyDescent="0.25">
      <c r="B41" s="26">
        <v>0.25</v>
      </c>
      <c r="C41" s="52">
        <v>0</v>
      </c>
    </row>
    <row r="42" spans="2:3" x14ac:dyDescent="0.25">
      <c r="B42" s="26">
        <v>0.29166666666666702</v>
      </c>
      <c r="C42" s="52">
        <v>0</v>
      </c>
    </row>
    <row r="43" spans="2:3" x14ac:dyDescent="0.25">
      <c r="B43" s="26">
        <v>0.33333333333333298</v>
      </c>
      <c r="C43" s="52">
        <v>0</v>
      </c>
    </row>
    <row r="44" spans="2:3" x14ac:dyDescent="0.25">
      <c r="B44" s="26">
        <v>0.375</v>
      </c>
      <c r="C44" s="52">
        <v>0</v>
      </c>
    </row>
    <row r="45" spans="2:3" x14ac:dyDescent="0.25">
      <c r="B45" s="26">
        <v>0.41666666666666702</v>
      </c>
      <c r="C45" s="52">
        <v>0</v>
      </c>
    </row>
    <row r="46" spans="2:3" x14ac:dyDescent="0.25">
      <c r="B46" s="26">
        <v>0.45833333333333298</v>
      </c>
      <c r="C46" s="52">
        <v>0</v>
      </c>
    </row>
    <row r="47" spans="2:3" x14ac:dyDescent="0.25">
      <c r="B47" s="26">
        <v>0.5</v>
      </c>
      <c r="C47" s="52">
        <v>0</v>
      </c>
    </row>
    <row r="48" spans="2:3" x14ac:dyDescent="0.25">
      <c r="B48" s="26">
        <v>0.54166666666666696</v>
      </c>
      <c r="C48" s="52">
        <v>0</v>
      </c>
    </row>
    <row r="49" spans="2:19" x14ac:dyDescent="0.25">
      <c r="B49" s="26">
        <v>0.58333333333333304</v>
      </c>
      <c r="C49" s="52">
        <v>0</v>
      </c>
    </row>
    <row r="50" spans="2:19" x14ac:dyDescent="0.25">
      <c r="B50" s="26">
        <v>0.625</v>
      </c>
      <c r="C50" s="52">
        <v>0</v>
      </c>
    </row>
    <row r="51" spans="2:19" x14ac:dyDescent="0.25">
      <c r="B51" s="26">
        <v>0.66666666666666696</v>
      </c>
      <c r="C51" s="52">
        <v>0</v>
      </c>
    </row>
    <row r="52" spans="2:19" x14ac:dyDescent="0.25">
      <c r="B52" s="26">
        <v>0.70833333333333304</v>
      </c>
      <c r="C52" s="52">
        <v>1</v>
      </c>
    </row>
    <row r="53" spans="2:19" x14ac:dyDescent="0.25">
      <c r="B53" s="26">
        <v>0.75</v>
      </c>
      <c r="C53" s="52">
        <v>0</v>
      </c>
    </row>
    <row r="54" spans="2:19" x14ac:dyDescent="0.25">
      <c r="B54" s="26">
        <v>0.79166666666666696</v>
      </c>
      <c r="C54" s="52">
        <v>0</v>
      </c>
    </row>
    <row r="55" spans="2:19" x14ac:dyDescent="0.25">
      <c r="B55" s="26">
        <v>0.83333333333333304</v>
      </c>
      <c r="C55" s="52">
        <v>0</v>
      </c>
    </row>
    <row r="56" spans="2:19" x14ac:dyDescent="0.25">
      <c r="B56" s="26">
        <v>0.875</v>
      </c>
      <c r="C56" s="52">
        <v>0</v>
      </c>
    </row>
    <row r="57" spans="2:19" x14ac:dyDescent="0.25">
      <c r="B57" s="26">
        <v>0.91666666666666696</v>
      </c>
      <c r="C57" s="52">
        <v>0</v>
      </c>
    </row>
    <row r="58" spans="2:19" x14ac:dyDescent="0.25">
      <c r="B58" s="26">
        <v>0.95833333333333304</v>
      </c>
      <c r="C58" s="52">
        <v>0</v>
      </c>
    </row>
    <row r="60" spans="2:19" x14ac:dyDescent="0.25">
      <c r="B60" s="64" t="s">
        <v>52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</row>
    <row r="62" spans="2:19" x14ac:dyDescent="0.25">
      <c r="B62" s="21" t="s">
        <v>18</v>
      </c>
      <c r="C62" s="22" t="s">
        <v>46</v>
      </c>
    </row>
    <row r="63" spans="2:19" x14ac:dyDescent="0.25">
      <c r="B63" s="25" t="s">
        <v>25</v>
      </c>
      <c r="C63" s="15">
        <v>0</v>
      </c>
    </row>
    <row r="64" spans="2:19" x14ac:dyDescent="0.25">
      <c r="B64" s="25" t="s">
        <v>19</v>
      </c>
      <c r="C64" s="15">
        <v>1</v>
      </c>
    </row>
    <row r="65" spans="2:3" x14ac:dyDescent="0.25">
      <c r="B65" s="25" t="s">
        <v>20</v>
      </c>
      <c r="C65" s="15">
        <v>0</v>
      </c>
    </row>
    <row r="66" spans="2:3" x14ac:dyDescent="0.25">
      <c r="B66" s="25" t="s">
        <v>21</v>
      </c>
      <c r="C66" s="15">
        <v>0</v>
      </c>
    </row>
    <row r="67" spans="2:3" x14ac:dyDescent="0.25">
      <c r="B67" s="25" t="s">
        <v>22</v>
      </c>
      <c r="C67" s="15">
        <v>0</v>
      </c>
    </row>
    <row r="68" spans="2:3" x14ac:dyDescent="0.25">
      <c r="B68" s="25" t="s">
        <v>23</v>
      </c>
      <c r="C68" s="15">
        <v>0</v>
      </c>
    </row>
    <row r="69" spans="2:3" x14ac:dyDescent="0.25">
      <c r="B69" s="25" t="s">
        <v>24</v>
      </c>
      <c r="C69" s="15">
        <v>0</v>
      </c>
    </row>
    <row r="83" spans="2:19" x14ac:dyDescent="0.25">
      <c r="B83" s="64" t="s">
        <v>55</v>
      </c>
      <c r="C83" s="64"/>
      <c r="D83" s="64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</row>
    <row r="85" spans="2:19" x14ac:dyDescent="0.25">
      <c r="B85" s="17" t="s">
        <v>121</v>
      </c>
      <c r="C85" s="155">
        <v>1</v>
      </c>
    </row>
    <row r="86" spans="2:19" x14ac:dyDescent="0.25">
      <c r="B86" s="153" t="s">
        <v>122</v>
      </c>
      <c r="C86" s="156">
        <f ca="1">(TODAY() - C85 * 28)</f>
        <v>41351</v>
      </c>
    </row>
    <row r="88" spans="2:19" x14ac:dyDescent="0.25">
      <c r="B88" s="19" t="s">
        <v>123</v>
      </c>
      <c r="C88" s="20" t="s">
        <v>113</v>
      </c>
      <c r="D88" s="18" t="s">
        <v>29</v>
      </c>
    </row>
    <row r="89" spans="2:19" x14ac:dyDescent="0.25">
      <c r="B89" s="154">
        <f ca="1">C86</f>
        <v>41351</v>
      </c>
      <c r="C89" s="27">
        <v>0</v>
      </c>
      <c r="D89" s="28">
        <f>C89</f>
        <v>0</v>
      </c>
    </row>
    <row r="90" spans="2:19" x14ac:dyDescent="0.25">
      <c r="B90" s="154">
        <f ca="1">B89 +$C$85</f>
        <v>41352</v>
      </c>
      <c r="C90" s="27">
        <v>0</v>
      </c>
      <c r="D90" s="28">
        <f>D89+C90</f>
        <v>0</v>
      </c>
    </row>
    <row r="91" spans="2:19" x14ac:dyDescent="0.25">
      <c r="B91" s="154">
        <f t="shared" ref="B91:B116" ca="1" si="1">B90 +$C$85</f>
        <v>41353</v>
      </c>
      <c r="C91" s="27">
        <v>0</v>
      </c>
      <c r="D91" s="28">
        <f t="shared" ref="D91:D116" si="2">D90+C91</f>
        <v>0</v>
      </c>
    </row>
    <row r="92" spans="2:19" x14ac:dyDescent="0.25">
      <c r="B92" s="154">
        <f t="shared" ca="1" si="1"/>
        <v>41354</v>
      </c>
      <c r="C92" s="27">
        <v>0</v>
      </c>
      <c r="D92" s="28">
        <f t="shared" si="2"/>
        <v>0</v>
      </c>
    </row>
    <row r="93" spans="2:19" x14ac:dyDescent="0.25">
      <c r="B93" s="154">
        <f t="shared" ca="1" si="1"/>
        <v>41355</v>
      </c>
      <c r="C93" s="27">
        <v>0</v>
      </c>
      <c r="D93" s="28">
        <f t="shared" si="2"/>
        <v>0</v>
      </c>
    </row>
    <row r="94" spans="2:19" x14ac:dyDescent="0.25">
      <c r="B94" s="154">
        <f t="shared" ca="1" si="1"/>
        <v>41356</v>
      </c>
      <c r="C94" s="27">
        <v>0</v>
      </c>
      <c r="D94" s="28">
        <f t="shared" si="2"/>
        <v>0</v>
      </c>
    </row>
    <row r="95" spans="2:19" x14ac:dyDescent="0.25">
      <c r="B95" s="154">
        <f t="shared" ca="1" si="1"/>
        <v>41357</v>
      </c>
      <c r="C95" s="27">
        <v>0</v>
      </c>
      <c r="D95" s="28">
        <f t="shared" si="2"/>
        <v>0</v>
      </c>
    </row>
    <row r="96" spans="2:19" x14ac:dyDescent="0.25">
      <c r="B96" s="154">
        <f t="shared" ca="1" si="1"/>
        <v>41358</v>
      </c>
      <c r="C96" s="27">
        <v>0</v>
      </c>
      <c r="D96" s="28">
        <f t="shared" si="2"/>
        <v>0</v>
      </c>
    </row>
    <row r="97" spans="2:4" x14ac:dyDescent="0.25">
      <c r="B97" s="154">
        <f t="shared" ca="1" si="1"/>
        <v>41359</v>
      </c>
      <c r="C97" s="27">
        <v>0</v>
      </c>
      <c r="D97" s="28">
        <f t="shared" si="2"/>
        <v>0</v>
      </c>
    </row>
    <row r="98" spans="2:4" x14ac:dyDescent="0.25">
      <c r="B98" s="154">
        <f t="shared" ca="1" si="1"/>
        <v>41360</v>
      </c>
      <c r="C98" s="27">
        <v>0</v>
      </c>
      <c r="D98" s="28">
        <f t="shared" si="2"/>
        <v>0</v>
      </c>
    </row>
    <row r="99" spans="2:4" x14ac:dyDescent="0.25">
      <c r="B99" s="154">
        <f t="shared" ca="1" si="1"/>
        <v>41361</v>
      </c>
      <c r="C99" s="27">
        <v>0</v>
      </c>
      <c r="D99" s="28">
        <f t="shared" si="2"/>
        <v>0</v>
      </c>
    </row>
    <row r="100" spans="2:4" x14ac:dyDescent="0.25">
      <c r="B100" s="154">
        <f t="shared" ca="1" si="1"/>
        <v>41362</v>
      </c>
      <c r="C100" s="27">
        <v>0</v>
      </c>
      <c r="D100" s="28">
        <f t="shared" si="2"/>
        <v>0</v>
      </c>
    </row>
    <row r="101" spans="2:4" x14ac:dyDescent="0.25">
      <c r="B101" s="154">
        <f t="shared" ca="1" si="1"/>
        <v>41363</v>
      </c>
      <c r="C101" s="27">
        <v>0</v>
      </c>
      <c r="D101" s="28">
        <f t="shared" si="2"/>
        <v>0</v>
      </c>
    </row>
    <row r="102" spans="2:4" x14ac:dyDescent="0.25">
      <c r="B102" s="154">
        <f t="shared" ca="1" si="1"/>
        <v>41364</v>
      </c>
      <c r="C102" s="27">
        <v>0</v>
      </c>
      <c r="D102" s="28">
        <f t="shared" si="2"/>
        <v>0</v>
      </c>
    </row>
    <row r="103" spans="2:4" x14ac:dyDescent="0.25">
      <c r="B103" s="154">
        <f t="shared" ca="1" si="1"/>
        <v>41365</v>
      </c>
      <c r="C103" s="27">
        <v>0</v>
      </c>
      <c r="D103" s="28">
        <f t="shared" si="2"/>
        <v>0</v>
      </c>
    </row>
    <row r="104" spans="2:4" x14ac:dyDescent="0.25">
      <c r="B104" s="154">
        <f t="shared" ca="1" si="1"/>
        <v>41366</v>
      </c>
      <c r="C104" s="27">
        <v>0</v>
      </c>
      <c r="D104" s="28">
        <f t="shared" si="2"/>
        <v>0</v>
      </c>
    </row>
    <row r="105" spans="2:4" x14ac:dyDescent="0.25">
      <c r="B105" s="154">
        <f t="shared" ca="1" si="1"/>
        <v>41367</v>
      </c>
      <c r="C105" s="27">
        <v>0</v>
      </c>
      <c r="D105" s="28">
        <f t="shared" si="2"/>
        <v>0</v>
      </c>
    </row>
    <row r="106" spans="2:4" x14ac:dyDescent="0.25">
      <c r="B106" s="154">
        <f t="shared" ca="1" si="1"/>
        <v>41368</v>
      </c>
      <c r="C106" s="27">
        <v>0</v>
      </c>
      <c r="D106" s="28">
        <f t="shared" si="2"/>
        <v>0</v>
      </c>
    </row>
    <row r="107" spans="2:4" x14ac:dyDescent="0.25">
      <c r="B107" s="154">
        <f t="shared" ca="1" si="1"/>
        <v>41369</v>
      </c>
      <c r="C107" s="27">
        <v>0</v>
      </c>
      <c r="D107" s="28">
        <f t="shared" si="2"/>
        <v>0</v>
      </c>
    </row>
    <row r="108" spans="2:4" x14ac:dyDescent="0.25">
      <c r="B108" s="154">
        <f t="shared" ca="1" si="1"/>
        <v>41370</v>
      </c>
      <c r="C108" s="27">
        <v>0</v>
      </c>
      <c r="D108" s="28">
        <f t="shared" si="2"/>
        <v>0</v>
      </c>
    </row>
    <row r="109" spans="2:4" x14ac:dyDescent="0.25">
      <c r="B109" s="154">
        <f t="shared" ca="1" si="1"/>
        <v>41371</v>
      </c>
      <c r="C109" s="27">
        <v>0</v>
      </c>
      <c r="D109" s="28">
        <f t="shared" si="2"/>
        <v>0</v>
      </c>
    </row>
    <row r="110" spans="2:4" x14ac:dyDescent="0.25">
      <c r="B110" s="154">
        <f t="shared" ca="1" si="1"/>
        <v>41372</v>
      </c>
      <c r="C110" s="27">
        <v>0</v>
      </c>
      <c r="D110" s="28">
        <f t="shared" si="2"/>
        <v>0</v>
      </c>
    </row>
    <row r="111" spans="2:4" x14ac:dyDescent="0.25">
      <c r="B111" s="154">
        <f t="shared" ca="1" si="1"/>
        <v>41373</v>
      </c>
      <c r="C111" s="27">
        <v>0</v>
      </c>
      <c r="D111" s="28">
        <f t="shared" si="2"/>
        <v>0</v>
      </c>
    </row>
    <row r="112" spans="2:4" x14ac:dyDescent="0.25">
      <c r="B112" s="154">
        <f t="shared" ca="1" si="1"/>
        <v>41374</v>
      </c>
      <c r="C112" s="27">
        <v>0</v>
      </c>
      <c r="D112" s="28">
        <f t="shared" si="2"/>
        <v>0</v>
      </c>
    </row>
    <row r="113" spans="2:4" x14ac:dyDescent="0.25">
      <c r="B113" s="154">
        <f t="shared" ca="1" si="1"/>
        <v>41375</v>
      </c>
      <c r="C113" s="27">
        <v>0</v>
      </c>
      <c r="D113" s="28">
        <f t="shared" si="2"/>
        <v>0</v>
      </c>
    </row>
    <row r="114" spans="2:4" x14ac:dyDescent="0.25">
      <c r="B114" s="154">
        <f t="shared" ca="1" si="1"/>
        <v>41376</v>
      </c>
      <c r="C114" s="27">
        <v>0</v>
      </c>
      <c r="D114" s="28">
        <f t="shared" si="2"/>
        <v>0</v>
      </c>
    </row>
    <row r="115" spans="2:4" x14ac:dyDescent="0.25">
      <c r="B115" s="154">
        <f t="shared" ca="1" si="1"/>
        <v>41377</v>
      </c>
      <c r="C115" s="27">
        <v>0</v>
      </c>
      <c r="D115" s="28">
        <f t="shared" si="2"/>
        <v>0</v>
      </c>
    </row>
    <row r="116" spans="2:4" x14ac:dyDescent="0.25">
      <c r="B116" s="154">
        <f t="shared" ca="1" si="1"/>
        <v>41378</v>
      </c>
      <c r="C116" s="27">
        <v>0</v>
      </c>
      <c r="D116" s="28">
        <f t="shared" si="2"/>
        <v>0</v>
      </c>
    </row>
    <row r="117" spans="2:4" x14ac:dyDescent="0.25">
      <c r="B117" s="154">
        <f t="shared" ref="B117" ca="1" si="3">B116 +$C$85</f>
        <v>41379</v>
      </c>
      <c r="C117" s="27"/>
      <c r="D117" s="2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RefreshUsageTime">
          <controlPr defaultSize="0" autoLine="0" r:id="rId5">
            <anchor moveWithCells="1">
              <from>
                <xdr:col>3</xdr:col>
                <xdr:colOff>619125</xdr:colOff>
                <xdr:row>0</xdr:row>
                <xdr:rowOff>104775</xdr:rowOff>
              </from>
              <to>
                <xdr:col>5</xdr:col>
                <xdr:colOff>200025</xdr:colOff>
                <xdr:row>1</xdr:row>
                <xdr:rowOff>285750</xdr:rowOff>
              </to>
            </anchor>
          </controlPr>
        </control>
      </mc:Choice>
      <mc:Fallback>
        <control shapeId="6145" r:id="rId4" name="buttonRefreshUsageTime"/>
      </mc:Fallback>
    </mc:AlternateContent>
    <mc:AlternateContent xmlns:mc="http://schemas.openxmlformats.org/markup-compatibility/2006">
      <mc:Choice Requires="x14">
        <control shapeId="2" r:id="rId6" name="SpinButton1">
          <controlPr defaultSize="0" autoLine="0" linkedCell="C85" r:id="rId7">
            <anchor moveWithCells="1">
              <from>
                <xdr:col>3</xdr:col>
                <xdr:colOff>9525</xdr:colOff>
                <xdr:row>83</xdr:row>
                <xdr:rowOff>180975</xdr:rowOff>
              </from>
              <to>
                <xdr:col>3</xdr:col>
                <xdr:colOff>238125</xdr:colOff>
                <xdr:row>85</xdr:row>
                <xdr:rowOff>38100</xdr:rowOff>
              </to>
            </anchor>
          </controlPr>
        </control>
      </mc:Choice>
      <mc:Fallback>
        <control shapeId="6150" r:id="rId6" name="Spin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1106"/>
  <sheetViews>
    <sheetView tabSelected="1" zoomScaleNormal="100" workbookViewId="0">
      <selection activeCell="D1" sqref="D1"/>
    </sheetView>
  </sheetViews>
  <sheetFormatPr defaultRowHeight="15" x14ac:dyDescent="0.25"/>
  <cols>
    <col min="1" max="1" width="3.28515625" customWidth="1"/>
    <col min="2" max="2" width="15.42578125" customWidth="1"/>
    <col min="3" max="3" width="16.140625" customWidth="1"/>
    <col min="4" max="4" width="15.85546875" customWidth="1"/>
    <col min="6" max="6" width="17.28515625" customWidth="1"/>
    <col min="7" max="7" width="11.28515625" customWidth="1"/>
    <col min="8" max="8" width="15.28515625" customWidth="1"/>
    <col min="9" max="9" width="45.7109375" bestFit="1" customWidth="1"/>
    <col min="10" max="12" width="12" customWidth="1"/>
    <col min="13" max="36" width="12" bestFit="1" customWidth="1"/>
    <col min="37" max="37" width="11.7109375" bestFit="1" customWidth="1"/>
  </cols>
  <sheetData>
    <row r="1" spans="1:38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</row>
    <row r="2" spans="1:38" ht="28.5" x14ac:dyDescent="0.45">
      <c r="A2" s="56"/>
      <c r="B2" s="57" t="s">
        <v>119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</row>
    <row r="4" spans="1:38" x14ac:dyDescent="0.25">
      <c r="F4" s="58" t="s">
        <v>116</v>
      </c>
      <c r="G4" s="59">
        <v>1</v>
      </c>
      <c r="H4" s="152" t="s">
        <v>118</v>
      </c>
      <c r="I4" s="59"/>
      <c r="J4" s="59"/>
      <c r="K4" s="59"/>
      <c r="L4" s="59"/>
      <c r="M4" s="59"/>
      <c r="N4" s="59"/>
      <c r="O4" s="59"/>
      <c r="P4" s="59"/>
      <c r="AE4" s="83"/>
      <c r="AF4" s="83"/>
      <c r="AG4" s="83"/>
      <c r="AH4" s="83"/>
      <c r="AI4" s="83"/>
      <c r="AJ4" s="83"/>
      <c r="AK4" s="83"/>
      <c r="AL4" s="83"/>
    </row>
    <row r="5" spans="1:38" x14ac:dyDescent="0.25">
      <c r="B5" s="64" t="s">
        <v>38</v>
      </c>
      <c r="C5" s="65"/>
      <c r="D5" s="65"/>
      <c r="F5" s="64" t="s">
        <v>73</v>
      </c>
      <c r="G5" s="65"/>
      <c r="H5" s="65"/>
      <c r="I5" s="65"/>
      <c r="J5" s="64" t="s">
        <v>72</v>
      </c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40"/>
      <c r="AG5" s="40"/>
      <c r="AH5" s="40"/>
      <c r="AI5" s="40"/>
      <c r="AJ5" s="40"/>
      <c r="AK5" s="40"/>
      <c r="AL5" s="83"/>
    </row>
    <row r="6" spans="1:38" x14ac:dyDescent="0.25">
      <c r="B6" s="36" t="s">
        <v>35</v>
      </c>
      <c r="C6" s="36" t="s">
        <v>33</v>
      </c>
      <c r="D6" s="38" t="s">
        <v>4</v>
      </c>
      <c r="F6" s="79" t="s">
        <v>35</v>
      </c>
      <c r="G6" s="79" t="s">
        <v>33</v>
      </c>
      <c r="H6" s="77" t="s">
        <v>4</v>
      </c>
      <c r="I6" s="81" t="s">
        <v>57</v>
      </c>
      <c r="J6" s="39">
        <f ca="1">TODAY()</f>
        <v>41379</v>
      </c>
      <c r="K6" s="39">
        <f t="shared" ref="K6:AE6" ca="1" si="0">J6 - $G$4</f>
        <v>41378</v>
      </c>
      <c r="L6" s="39">
        <f t="shared" ca="1" si="0"/>
        <v>41377</v>
      </c>
      <c r="M6" s="39">
        <f t="shared" ca="1" si="0"/>
        <v>41376</v>
      </c>
      <c r="N6" s="39">
        <f t="shared" ca="1" si="0"/>
        <v>41375</v>
      </c>
      <c r="O6" s="39">
        <f t="shared" ca="1" si="0"/>
        <v>41374</v>
      </c>
      <c r="P6" s="39">
        <f t="shared" ca="1" si="0"/>
        <v>41373</v>
      </c>
      <c r="Q6" s="39">
        <f t="shared" ca="1" si="0"/>
        <v>41372</v>
      </c>
      <c r="R6" s="39">
        <f t="shared" ca="1" si="0"/>
        <v>41371</v>
      </c>
      <c r="S6" s="39">
        <f t="shared" ca="1" si="0"/>
        <v>41370</v>
      </c>
      <c r="T6" s="39">
        <f t="shared" ca="1" si="0"/>
        <v>41369</v>
      </c>
      <c r="U6" s="39">
        <f t="shared" ca="1" si="0"/>
        <v>41368</v>
      </c>
      <c r="V6" s="39">
        <f t="shared" ca="1" si="0"/>
        <v>41367</v>
      </c>
      <c r="W6" s="39">
        <f t="shared" ca="1" si="0"/>
        <v>41366</v>
      </c>
      <c r="X6" s="39">
        <f t="shared" ca="1" si="0"/>
        <v>41365</v>
      </c>
      <c r="Y6" s="39">
        <f t="shared" ca="1" si="0"/>
        <v>41364</v>
      </c>
      <c r="Z6" s="39">
        <f t="shared" ca="1" si="0"/>
        <v>41363</v>
      </c>
      <c r="AA6" s="39">
        <f t="shared" ca="1" si="0"/>
        <v>41362</v>
      </c>
      <c r="AB6" s="39">
        <f t="shared" ca="1" si="0"/>
        <v>41361</v>
      </c>
      <c r="AC6" s="39">
        <f t="shared" ca="1" si="0"/>
        <v>41360</v>
      </c>
      <c r="AD6" s="39">
        <f t="shared" ca="1" si="0"/>
        <v>41359</v>
      </c>
      <c r="AE6" s="39">
        <f t="shared" ca="1" si="0"/>
        <v>41358</v>
      </c>
      <c r="AF6" s="84"/>
      <c r="AG6" s="84"/>
      <c r="AH6" s="84"/>
      <c r="AI6" s="84"/>
      <c r="AJ6" s="84"/>
      <c r="AK6" s="84"/>
      <c r="AL6" s="83"/>
    </row>
    <row r="7" spans="1:38" x14ac:dyDescent="0.25">
      <c r="B7" s="34" t="s">
        <v>132</v>
      </c>
      <c r="C7" s="35">
        <v>41379.718365127315</v>
      </c>
      <c r="D7" s="37">
        <v>1</v>
      </c>
      <c r="F7" s="78" t="s">
        <v>132</v>
      </c>
      <c r="G7" s="80">
        <v>41379.718365127315</v>
      </c>
      <c r="H7" s="78">
        <v>1</v>
      </c>
      <c r="I7" s="82" t="s">
        <v>133</v>
      </c>
      <c r="J7" s="34">
        <v>0</v>
      </c>
      <c r="K7" s="34">
        <v>0</v>
      </c>
      <c r="L7" s="34">
        <v>0</v>
      </c>
      <c r="M7" s="34">
        <v>0</v>
      </c>
      <c r="N7" s="34">
        <v>0</v>
      </c>
      <c r="O7" s="34">
        <v>0</v>
      </c>
      <c r="P7" s="34">
        <v>0</v>
      </c>
      <c r="Q7" s="34">
        <v>0</v>
      </c>
      <c r="R7" s="34">
        <v>0</v>
      </c>
      <c r="S7" s="34">
        <v>0</v>
      </c>
      <c r="T7" s="34">
        <v>0</v>
      </c>
      <c r="U7" s="34">
        <v>0</v>
      </c>
      <c r="V7" s="34"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34">
        <v>0</v>
      </c>
      <c r="AD7" s="34">
        <v>0</v>
      </c>
      <c r="AE7" s="34"/>
      <c r="AF7" s="40"/>
      <c r="AG7" s="40"/>
      <c r="AH7" s="40"/>
      <c r="AI7" s="40"/>
      <c r="AJ7" s="40"/>
      <c r="AK7" s="40"/>
      <c r="AL7" s="83"/>
    </row>
    <row r="8" spans="1:38" x14ac:dyDescent="0.25">
      <c r="B8" s="34"/>
      <c r="C8" s="35"/>
      <c r="D8" s="37"/>
      <c r="F8" s="78"/>
      <c r="G8" s="80"/>
      <c r="H8" s="78"/>
      <c r="I8" s="82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40"/>
      <c r="AG8" s="40"/>
      <c r="AH8" s="40"/>
      <c r="AI8" s="40"/>
      <c r="AJ8" s="40"/>
      <c r="AK8" s="40"/>
      <c r="AL8" s="83"/>
    </row>
    <row r="9" spans="1:38" x14ac:dyDescent="0.25">
      <c r="B9" s="34"/>
      <c r="C9" s="35"/>
      <c r="D9" s="37"/>
      <c r="F9" s="78"/>
      <c r="G9" s="80"/>
      <c r="H9" s="78"/>
      <c r="I9" s="82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40"/>
      <c r="AG9" s="40"/>
      <c r="AH9" s="40"/>
      <c r="AI9" s="40"/>
      <c r="AJ9" s="40"/>
      <c r="AK9" s="40"/>
      <c r="AL9" s="83"/>
    </row>
    <row r="10" spans="1:38" x14ac:dyDescent="0.25">
      <c r="B10" s="34"/>
      <c r="C10" s="35"/>
      <c r="D10" s="37"/>
      <c r="F10" s="78"/>
      <c r="G10" s="80"/>
      <c r="H10" s="78"/>
      <c r="I10" s="82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40"/>
      <c r="AG10" s="40"/>
      <c r="AH10" s="40"/>
      <c r="AI10" s="40"/>
      <c r="AJ10" s="40"/>
      <c r="AK10" s="40"/>
      <c r="AL10" s="83"/>
    </row>
    <row r="11" spans="1:38" x14ac:dyDescent="0.25">
      <c r="B11" s="34"/>
      <c r="C11" s="35"/>
      <c r="D11" s="37"/>
      <c r="F11" s="78"/>
      <c r="G11" s="80"/>
      <c r="H11" s="78"/>
      <c r="I11" s="82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40"/>
      <c r="AG11" s="40"/>
      <c r="AH11" s="40"/>
      <c r="AI11" s="40"/>
      <c r="AJ11" s="40"/>
      <c r="AK11" s="40"/>
      <c r="AL11" s="83"/>
    </row>
    <row r="12" spans="1:38" x14ac:dyDescent="0.25">
      <c r="B12" s="34"/>
      <c r="C12" s="35"/>
      <c r="D12" s="37"/>
      <c r="F12" s="78"/>
      <c r="G12" s="80"/>
      <c r="H12" s="78"/>
      <c r="I12" s="82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40"/>
      <c r="AG12" s="40"/>
      <c r="AH12" s="40"/>
      <c r="AI12" s="40"/>
      <c r="AJ12" s="40"/>
      <c r="AK12" s="40"/>
      <c r="AL12" s="83"/>
    </row>
    <row r="13" spans="1:38" x14ac:dyDescent="0.25">
      <c r="B13" s="34"/>
      <c r="C13" s="35"/>
      <c r="D13" s="37"/>
      <c r="F13" s="78"/>
      <c r="G13" s="80"/>
      <c r="H13" s="78"/>
      <c r="I13" s="82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40"/>
      <c r="AG13" s="40"/>
      <c r="AH13" s="40"/>
      <c r="AI13" s="40"/>
      <c r="AJ13" s="40"/>
      <c r="AK13" s="40"/>
      <c r="AL13" s="83"/>
    </row>
    <row r="14" spans="1:38" x14ac:dyDescent="0.25">
      <c r="B14" s="34"/>
      <c r="C14" s="35"/>
      <c r="D14" s="37"/>
      <c r="F14" s="78"/>
      <c r="G14" s="80"/>
      <c r="H14" s="78"/>
      <c r="I14" s="82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40"/>
      <c r="AG14" s="40"/>
      <c r="AH14" s="40"/>
      <c r="AI14" s="40"/>
      <c r="AJ14" s="40"/>
      <c r="AK14" s="40"/>
      <c r="AL14" s="83"/>
    </row>
    <row r="15" spans="1:38" x14ac:dyDescent="0.25">
      <c r="B15" s="34"/>
      <c r="C15" s="35"/>
      <c r="D15" s="37"/>
      <c r="F15" s="78"/>
      <c r="G15" s="80"/>
      <c r="H15" s="78"/>
      <c r="I15" s="82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40"/>
      <c r="AG15" s="40"/>
      <c r="AH15" s="40"/>
      <c r="AI15" s="40"/>
      <c r="AJ15" s="40"/>
      <c r="AK15" s="40"/>
      <c r="AL15" s="83"/>
    </row>
    <row r="16" spans="1:38" x14ac:dyDescent="0.25">
      <c r="B16" s="34"/>
      <c r="C16" s="35"/>
      <c r="D16" s="37"/>
      <c r="F16" s="78"/>
      <c r="G16" s="80"/>
      <c r="H16" s="78"/>
      <c r="I16" s="82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43"/>
      <c r="AG16" s="43"/>
      <c r="AH16" s="43"/>
      <c r="AI16" s="43"/>
      <c r="AJ16" s="43"/>
      <c r="AK16" s="43"/>
    </row>
    <row r="17" spans="2:8" x14ac:dyDescent="0.25">
      <c r="B17" s="34"/>
      <c r="C17" s="35"/>
      <c r="D17" s="37"/>
      <c r="F17" s="40"/>
      <c r="G17" s="40"/>
      <c r="H17" s="40"/>
    </row>
    <row r="18" spans="2:8" x14ac:dyDescent="0.25">
      <c r="B18" s="34"/>
      <c r="C18" s="35"/>
      <c r="D18" s="37"/>
      <c r="F18" s="40"/>
      <c r="G18" s="40"/>
      <c r="H18" s="40"/>
    </row>
    <row r="19" spans="2:8" x14ac:dyDescent="0.25">
      <c r="B19" s="34"/>
      <c r="C19" s="35"/>
      <c r="D19" s="37"/>
      <c r="F19" s="40"/>
      <c r="G19" s="40"/>
      <c r="H19" s="40"/>
    </row>
    <row r="20" spans="2:8" x14ac:dyDescent="0.25">
      <c r="B20" s="34"/>
      <c r="C20" s="35"/>
      <c r="D20" s="37"/>
      <c r="F20" s="40"/>
      <c r="G20" s="40"/>
      <c r="H20" s="40"/>
    </row>
    <row r="21" spans="2:8" x14ac:dyDescent="0.25">
      <c r="B21" s="34"/>
      <c r="C21" s="35"/>
      <c r="D21" s="37"/>
      <c r="F21" s="40"/>
      <c r="G21" s="40"/>
      <c r="H21" s="40"/>
    </row>
    <row r="22" spans="2:8" x14ac:dyDescent="0.25">
      <c r="B22" s="34"/>
      <c r="C22" s="35"/>
      <c r="D22" s="37"/>
      <c r="F22" s="40"/>
      <c r="G22" s="40"/>
      <c r="H22" s="40"/>
    </row>
    <row r="23" spans="2:8" x14ac:dyDescent="0.25">
      <c r="B23" s="34"/>
      <c r="C23" s="35"/>
      <c r="D23" s="37"/>
      <c r="F23" s="40"/>
      <c r="G23" s="40"/>
      <c r="H23" s="40"/>
    </row>
    <row r="24" spans="2:8" x14ac:dyDescent="0.25">
      <c r="B24" s="34"/>
      <c r="C24" s="35"/>
      <c r="D24" s="37"/>
      <c r="F24" s="40"/>
      <c r="G24" s="40"/>
      <c r="H24" s="40"/>
    </row>
    <row r="25" spans="2:8" x14ac:dyDescent="0.25">
      <c r="B25" s="34"/>
      <c r="C25" s="35"/>
      <c r="D25" s="37"/>
      <c r="F25" s="40"/>
      <c r="G25" s="40"/>
      <c r="H25" s="40"/>
    </row>
    <row r="26" spans="2:8" x14ac:dyDescent="0.25">
      <c r="B26" s="34"/>
      <c r="C26" s="35"/>
      <c r="D26" s="37"/>
      <c r="F26" s="40"/>
      <c r="G26" s="40"/>
      <c r="H26" s="40"/>
    </row>
    <row r="27" spans="2:8" x14ac:dyDescent="0.25">
      <c r="B27" s="34"/>
      <c r="C27" s="35"/>
      <c r="D27" s="37"/>
      <c r="F27" s="40"/>
      <c r="G27" s="40"/>
      <c r="H27" s="40"/>
    </row>
    <row r="28" spans="2:8" x14ac:dyDescent="0.25">
      <c r="B28" s="34"/>
      <c r="C28" s="35"/>
      <c r="D28" s="37"/>
      <c r="F28" s="40"/>
      <c r="G28" s="40"/>
      <c r="H28" s="40"/>
    </row>
    <row r="29" spans="2:8" x14ac:dyDescent="0.25">
      <c r="B29" s="34"/>
      <c r="C29" s="35"/>
      <c r="D29" s="37"/>
      <c r="F29" s="40"/>
      <c r="G29" s="40"/>
      <c r="H29" s="40"/>
    </row>
    <row r="30" spans="2:8" x14ac:dyDescent="0.25">
      <c r="B30" s="34"/>
      <c r="C30" s="35"/>
      <c r="D30" s="37"/>
      <c r="F30" s="40"/>
      <c r="G30" s="40"/>
      <c r="H30" s="40"/>
    </row>
    <row r="31" spans="2:8" x14ac:dyDescent="0.25">
      <c r="B31" s="34"/>
      <c r="C31" s="35"/>
      <c r="D31" s="37"/>
      <c r="F31" s="40"/>
      <c r="G31" s="40"/>
      <c r="H31" s="40"/>
    </row>
    <row r="32" spans="2:8" x14ac:dyDescent="0.25">
      <c r="B32" s="34"/>
      <c r="C32" s="35"/>
      <c r="D32" s="34"/>
      <c r="F32" s="40"/>
      <c r="G32" s="40"/>
      <c r="H32" s="40"/>
    </row>
    <row r="33" spans="2:8" x14ac:dyDescent="0.25">
      <c r="B33" s="34"/>
      <c r="C33" s="35"/>
      <c r="D33" s="34"/>
      <c r="F33" s="40"/>
      <c r="G33" s="40"/>
      <c r="H33" s="40"/>
    </row>
    <row r="34" spans="2:8" x14ac:dyDescent="0.25">
      <c r="B34" s="34"/>
      <c r="C34" s="35"/>
      <c r="D34" s="34"/>
      <c r="F34" s="40"/>
      <c r="G34" s="40"/>
      <c r="H34" s="40"/>
    </row>
    <row r="35" spans="2:8" x14ac:dyDescent="0.25">
      <c r="B35" s="34"/>
      <c r="C35" s="35"/>
      <c r="D35" s="34"/>
      <c r="F35" s="40"/>
      <c r="G35" s="40"/>
      <c r="H35" s="40"/>
    </row>
    <row r="36" spans="2:8" x14ac:dyDescent="0.25">
      <c r="B36" s="34"/>
      <c r="C36" s="35"/>
      <c r="D36" s="34"/>
      <c r="F36" s="40"/>
      <c r="G36" s="40"/>
      <c r="H36" s="40"/>
    </row>
    <row r="37" spans="2:8" x14ac:dyDescent="0.25">
      <c r="B37" s="34"/>
      <c r="C37" s="35"/>
      <c r="D37" s="34"/>
      <c r="F37" s="40"/>
      <c r="G37" s="40"/>
      <c r="H37" s="40"/>
    </row>
    <row r="38" spans="2:8" x14ac:dyDescent="0.25">
      <c r="B38" s="34"/>
      <c r="C38" s="35"/>
      <c r="D38" s="34"/>
      <c r="F38" s="40"/>
      <c r="G38" s="40"/>
      <c r="H38" s="40"/>
    </row>
    <row r="39" spans="2:8" x14ac:dyDescent="0.25">
      <c r="B39" s="34"/>
      <c r="C39" s="35"/>
      <c r="D39" s="34"/>
      <c r="F39" s="40"/>
      <c r="G39" s="40"/>
      <c r="H39" s="40"/>
    </row>
    <row r="40" spans="2:8" x14ac:dyDescent="0.25">
      <c r="B40" s="34"/>
      <c r="C40" s="35"/>
      <c r="D40" s="34"/>
      <c r="F40" s="40"/>
      <c r="G40" s="40"/>
      <c r="H40" s="40"/>
    </row>
    <row r="41" spans="2:8" x14ac:dyDescent="0.25">
      <c r="B41" s="34"/>
      <c r="C41" s="35"/>
      <c r="D41" s="34"/>
      <c r="F41" s="40"/>
      <c r="G41" s="40"/>
      <c r="H41" s="40"/>
    </row>
    <row r="42" spans="2:8" x14ac:dyDescent="0.25">
      <c r="B42" s="34"/>
      <c r="C42" s="35"/>
      <c r="D42" s="34"/>
      <c r="F42" s="40"/>
      <c r="G42" s="40"/>
      <c r="H42" s="40"/>
    </row>
    <row r="43" spans="2:8" x14ac:dyDescent="0.25">
      <c r="B43" s="34"/>
      <c r="C43" s="35"/>
      <c r="D43" s="34"/>
      <c r="F43" s="40"/>
      <c r="G43" s="40"/>
      <c r="H43" s="40"/>
    </row>
    <row r="44" spans="2:8" x14ac:dyDescent="0.25">
      <c r="B44" s="34"/>
      <c r="C44" s="35"/>
      <c r="D44" s="34"/>
      <c r="F44" s="40"/>
      <c r="G44" s="40"/>
      <c r="H44" s="40"/>
    </row>
    <row r="45" spans="2:8" x14ac:dyDescent="0.25">
      <c r="B45" s="34"/>
      <c r="C45" s="35"/>
      <c r="D45" s="34"/>
      <c r="F45" s="40"/>
      <c r="G45" s="40"/>
      <c r="H45" s="40"/>
    </row>
    <row r="46" spans="2:8" x14ac:dyDescent="0.25">
      <c r="B46" s="34"/>
      <c r="C46" s="35"/>
      <c r="D46" s="34"/>
      <c r="F46" s="40"/>
      <c r="G46" s="40"/>
      <c r="H46" s="40"/>
    </row>
    <row r="47" spans="2:8" x14ac:dyDescent="0.25">
      <c r="B47" s="34"/>
      <c r="C47" s="35"/>
      <c r="D47" s="34"/>
      <c r="F47" s="40"/>
      <c r="G47" s="40"/>
      <c r="H47" s="40"/>
    </row>
    <row r="48" spans="2:8" x14ac:dyDescent="0.25">
      <c r="B48" s="34"/>
      <c r="C48" s="35"/>
      <c r="D48" s="34"/>
      <c r="F48" s="40"/>
      <c r="G48" s="40"/>
      <c r="H48" s="40"/>
    </row>
    <row r="49" spans="2:8" x14ac:dyDescent="0.25">
      <c r="B49" s="34"/>
      <c r="C49" s="35"/>
      <c r="D49" s="34"/>
      <c r="F49" s="40"/>
      <c r="G49" s="40"/>
      <c r="H49" s="40"/>
    </row>
    <row r="50" spans="2:8" x14ac:dyDescent="0.25">
      <c r="B50" s="34"/>
      <c r="C50" s="35"/>
      <c r="D50" s="34"/>
      <c r="F50" s="40"/>
      <c r="G50" s="40"/>
      <c r="H50" s="40"/>
    </row>
    <row r="51" spans="2:8" x14ac:dyDescent="0.25">
      <c r="B51" s="34"/>
      <c r="C51" s="35"/>
      <c r="D51" s="34"/>
      <c r="F51" s="40"/>
      <c r="G51" s="40"/>
      <c r="H51" s="40"/>
    </row>
    <row r="52" spans="2:8" x14ac:dyDescent="0.25">
      <c r="B52" s="34"/>
      <c r="C52" s="35"/>
      <c r="D52" s="34"/>
      <c r="F52" s="40"/>
      <c r="G52" s="40"/>
      <c r="H52" s="40"/>
    </row>
    <row r="53" spans="2:8" x14ac:dyDescent="0.25">
      <c r="B53" s="34"/>
      <c r="C53" s="35"/>
      <c r="D53" s="34"/>
      <c r="F53" s="40"/>
      <c r="G53" s="40"/>
      <c r="H53" s="40"/>
    </row>
    <row r="54" spans="2:8" x14ac:dyDescent="0.25">
      <c r="B54" s="34"/>
      <c r="C54" s="35"/>
      <c r="D54" s="34"/>
      <c r="F54" s="40"/>
      <c r="G54" s="40"/>
      <c r="H54" s="40"/>
    </row>
    <row r="55" spans="2:8" x14ac:dyDescent="0.25">
      <c r="B55" s="34"/>
      <c r="C55" s="35"/>
      <c r="D55" s="34"/>
      <c r="F55" s="40"/>
      <c r="G55" s="40"/>
      <c r="H55" s="40"/>
    </row>
    <row r="56" spans="2:8" x14ac:dyDescent="0.25">
      <c r="B56" s="34"/>
      <c r="C56" s="35"/>
      <c r="D56" s="34"/>
      <c r="F56" s="40"/>
      <c r="G56" s="40"/>
      <c r="H56" s="40"/>
    </row>
    <row r="57" spans="2:8" x14ac:dyDescent="0.25">
      <c r="B57" s="34"/>
      <c r="C57" s="35"/>
      <c r="D57" s="34"/>
      <c r="F57" s="40"/>
      <c r="G57" s="40"/>
      <c r="H57" s="40"/>
    </row>
    <row r="58" spans="2:8" x14ac:dyDescent="0.25">
      <c r="B58" s="34"/>
      <c r="C58" s="35"/>
      <c r="D58" s="34"/>
      <c r="F58" s="40"/>
      <c r="G58" s="40"/>
      <c r="H58" s="40"/>
    </row>
    <row r="59" spans="2:8" x14ac:dyDescent="0.25">
      <c r="B59" s="34"/>
      <c r="C59" s="35"/>
      <c r="D59" s="34"/>
      <c r="F59" s="40"/>
      <c r="G59" s="40"/>
      <c r="H59" s="40"/>
    </row>
    <row r="60" spans="2:8" x14ac:dyDescent="0.25">
      <c r="B60" s="34"/>
      <c r="C60" s="35"/>
      <c r="D60" s="34"/>
      <c r="F60" s="40"/>
      <c r="G60" s="40"/>
      <c r="H60" s="40"/>
    </row>
    <row r="61" spans="2:8" x14ac:dyDescent="0.25">
      <c r="B61" s="34"/>
      <c r="C61" s="35"/>
      <c r="D61" s="34"/>
      <c r="F61" s="40"/>
      <c r="G61" s="40"/>
      <c r="H61" s="40"/>
    </row>
    <row r="62" spans="2:8" x14ac:dyDescent="0.25">
      <c r="B62" s="34"/>
      <c r="C62" s="35"/>
      <c r="D62" s="34"/>
      <c r="F62" s="40"/>
      <c r="G62" s="40"/>
      <c r="H62" s="40"/>
    </row>
    <row r="63" spans="2:8" x14ac:dyDescent="0.25">
      <c r="B63" s="34"/>
      <c r="C63" s="35"/>
      <c r="D63" s="34"/>
      <c r="F63" s="40"/>
      <c r="G63" s="40"/>
      <c r="H63" s="40"/>
    </row>
    <row r="64" spans="2:8" x14ac:dyDescent="0.25">
      <c r="B64" s="34"/>
      <c r="C64" s="35"/>
      <c r="D64" s="34"/>
      <c r="F64" s="40"/>
      <c r="G64" s="40"/>
      <c r="H64" s="40"/>
    </row>
    <row r="65" spans="2:8" x14ac:dyDescent="0.25">
      <c r="B65" s="34"/>
      <c r="C65" s="35"/>
      <c r="D65" s="34"/>
      <c r="F65" s="40"/>
      <c r="G65" s="40"/>
      <c r="H65" s="40"/>
    </row>
    <row r="66" spans="2:8" x14ac:dyDescent="0.25">
      <c r="B66" s="34"/>
      <c r="C66" s="35"/>
      <c r="D66" s="34"/>
      <c r="F66" s="40"/>
      <c r="G66" s="40"/>
      <c r="H66" s="40"/>
    </row>
    <row r="67" spans="2:8" x14ac:dyDescent="0.25">
      <c r="B67" s="34"/>
      <c r="C67" s="35"/>
      <c r="D67" s="34"/>
      <c r="F67" s="40"/>
      <c r="G67" s="40"/>
      <c r="H67" s="40"/>
    </row>
    <row r="68" spans="2:8" x14ac:dyDescent="0.25">
      <c r="B68" s="34"/>
      <c r="C68" s="35"/>
      <c r="D68" s="34"/>
      <c r="F68" s="40"/>
      <c r="G68" s="40"/>
      <c r="H68" s="40"/>
    </row>
    <row r="69" spans="2:8" x14ac:dyDescent="0.25">
      <c r="B69" s="34"/>
      <c r="C69" s="35"/>
      <c r="D69" s="34"/>
      <c r="F69" s="40"/>
      <c r="G69" s="40"/>
      <c r="H69" s="40"/>
    </row>
    <row r="70" spans="2:8" x14ac:dyDescent="0.25">
      <c r="B70" s="34"/>
      <c r="C70" s="35"/>
      <c r="D70" s="34"/>
      <c r="F70" s="40"/>
      <c r="G70" s="40"/>
      <c r="H70" s="40"/>
    </row>
    <row r="71" spans="2:8" x14ac:dyDescent="0.25">
      <c r="B71" s="34"/>
      <c r="C71" s="35"/>
      <c r="D71" s="34"/>
      <c r="F71" s="40"/>
      <c r="G71" s="40"/>
      <c r="H71" s="40"/>
    </row>
    <row r="72" spans="2:8" x14ac:dyDescent="0.25">
      <c r="B72" s="34"/>
      <c r="C72" s="35"/>
      <c r="D72" s="34"/>
      <c r="F72" s="40"/>
      <c r="G72" s="40"/>
      <c r="H72" s="40"/>
    </row>
    <row r="73" spans="2:8" x14ac:dyDescent="0.25">
      <c r="B73" s="34"/>
      <c r="C73" s="35"/>
      <c r="D73" s="34"/>
      <c r="F73" s="40"/>
      <c r="G73" s="40"/>
      <c r="H73" s="40"/>
    </row>
    <row r="74" spans="2:8" x14ac:dyDescent="0.25">
      <c r="B74" s="34"/>
      <c r="C74" s="35"/>
      <c r="D74" s="34"/>
      <c r="F74" s="40"/>
      <c r="G74" s="40"/>
      <c r="H74" s="40"/>
    </row>
    <row r="75" spans="2:8" x14ac:dyDescent="0.25">
      <c r="B75" s="34"/>
      <c r="C75" s="35"/>
      <c r="D75" s="34"/>
      <c r="F75" s="40"/>
      <c r="G75" s="40"/>
      <c r="H75" s="40"/>
    </row>
    <row r="76" spans="2:8" x14ac:dyDescent="0.25">
      <c r="B76" s="34"/>
      <c r="C76" s="35"/>
      <c r="D76" s="34"/>
      <c r="F76" s="40"/>
      <c r="G76" s="40"/>
      <c r="H76" s="40"/>
    </row>
    <row r="77" spans="2:8" x14ac:dyDescent="0.25">
      <c r="B77" s="34"/>
      <c r="C77" s="35"/>
      <c r="D77" s="34"/>
      <c r="F77" s="40"/>
      <c r="G77" s="40"/>
      <c r="H77" s="40"/>
    </row>
    <row r="78" spans="2:8" x14ac:dyDescent="0.25">
      <c r="B78" s="34"/>
      <c r="C78" s="35"/>
      <c r="D78" s="34"/>
      <c r="F78" s="40"/>
      <c r="G78" s="40"/>
      <c r="H78" s="40"/>
    </row>
    <row r="79" spans="2:8" x14ac:dyDescent="0.25">
      <c r="B79" s="34"/>
      <c r="C79" s="35"/>
      <c r="D79" s="34"/>
      <c r="F79" s="40"/>
      <c r="G79" s="40"/>
      <c r="H79" s="40"/>
    </row>
    <row r="80" spans="2:8" x14ac:dyDescent="0.25">
      <c r="B80" s="34"/>
      <c r="C80" s="35"/>
      <c r="D80" s="34"/>
      <c r="F80" s="40"/>
      <c r="G80" s="40"/>
      <c r="H80" s="40"/>
    </row>
    <row r="81" spans="2:8" x14ac:dyDescent="0.25">
      <c r="B81" s="34"/>
      <c r="C81" s="35"/>
      <c r="D81" s="34"/>
      <c r="F81" s="40"/>
      <c r="G81" s="40"/>
      <c r="H81" s="40"/>
    </row>
    <row r="82" spans="2:8" x14ac:dyDescent="0.25">
      <c r="B82" s="34"/>
      <c r="C82" s="35"/>
      <c r="D82" s="34"/>
      <c r="F82" s="40"/>
      <c r="G82" s="40"/>
      <c r="H82" s="40"/>
    </row>
    <row r="83" spans="2:8" x14ac:dyDescent="0.25">
      <c r="B83" s="34"/>
      <c r="C83" s="35"/>
      <c r="D83" s="34"/>
      <c r="F83" s="40"/>
      <c r="G83" s="40"/>
      <c r="H83" s="40"/>
    </row>
    <row r="84" spans="2:8" x14ac:dyDescent="0.25">
      <c r="B84" s="34"/>
      <c r="C84" s="35"/>
      <c r="D84" s="34"/>
      <c r="F84" s="40"/>
      <c r="G84" s="40"/>
      <c r="H84" s="40"/>
    </row>
    <row r="85" spans="2:8" x14ac:dyDescent="0.25">
      <c r="B85" s="34"/>
      <c r="C85" s="35"/>
      <c r="D85" s="34"/>
      <c r="F85" s="40"/>
      <c r="G85" s="40"/>
      <c r="H85" s="40"/>
    </row>
    <row r="86" spans="2:8" x14ac:dyDescent="0.25">
      <c r="B86" s="34"/>
      <c r="C86" s="35"/>
      <c r="D86" s="34"/>
      <c r="F86" s="40"/>
      <c r="G86" s="40"/>
      <c r="H86" s="40"/>
    </row>
    <row r="87" spans="2:8" x14ac:dyDescent="0.25">
      <c r="B87" s="34"/>
      <c r="C87" s="35"/>
      <c r="D87" s="34"/>
      <c r="F87" s="40"/>
      <c r="G87" s="40"/>
      <c r="H87" s="40"/>
    </row>
    <row r="88" spans="2:8" x14ac:dyDescent="0.25">
      <c r="B88" s="34"/>
      <c r="C88" s="35"/>
      <c r="D88" s="34"/>
      <c r="F88" s="40"/>
      <c r="G88" s="40"/>
      <c r="H88" s="40"/>
    </row>
    <row r="89" spans="2:8" x14ac:dyDescent="0.25">
      <c r="B89" s="34"/>
      <c r="C89" s="35"/>
      <c r="D89" s="34"/>
      <c r="F89" s="40"/>
      <c r="G89" s="40"/>
      <c r="H89" s="40"/>
    </row>
    <row r="90" spans="2:8" x14ac:dyDescent="0.25">
      <c r="B90" s="34"/>
      <c r="C90" s="35"/>
      <c r="D90" s="34"/>
      <c r="F90" s="40"/>
      <c r="G90" s="40"/>
      <c r="H90" s="40"/>
    </row>
    <row r="91" spans="2:8" x14ac:dyDescent="0.25">
      <c r="B91" s="34"/>
      <c r="C91" s="35"/>
      <c r="D91" s="34"/>
      <c r="F91" s="40"/>
      <c r="G91" s="40"/>
      <c r="H91" s="40"/>
    </row>
    <row r="92" spans="2:8" x14ac:dyDescent="0.25">
      <c r="B92" s="34"/>
      <c r="C92" s="35"/>
      <c r="D92" s="34"/>
      <c r="F92" s="40"/>
      <c r="G92" s="40"/>
      <c r="H92" s="40"/>
    </row>
    <row r="93" spans="2:8" x14ac:dyDescent="0.25">
      <c r="B93" s="34"/>
      <c r="C93" s="35"/>
      <c r="D93" s="34"/>
      <c r="F93" s="40"/>
      <c r="G93" s="40"/>
      <c r="H93" s="40"/>
    </row>
    <row r="94" spans="2:8" x14ac:dyDescent="0.25">
      <c r="B94" s="34"/>
      <c r="C94" s="35"/>
      <c r="D94" s="34"/>
      <c r="F94" s="40"/>
      <c r="G94" s="40"/>
      <c r="H94" s="40"/>
    </row>
    <row r="95" spans="2:8" x14ac:dyDescent="0.25">
      <c r="B95" s="34"/>
      <c r="C95" s="35"/>
      <c r="D95" s="34"/>
      <c r="F95" s="40"/>
      <c r="G95" s="40"/>
      <c r="H95" s="40"/>
    </row>
    <row r="96" spans="2:8" x14ac:dyDescent="0.25">
      <c r="B96" s="34"/>
      <c r="C96" s="35"/>
      <c r="D96" s="34"/>
      <c r="F96" s="40"/>
      <c r="G96" s="40"/>
      <c r="H96" s="40"/>
    </row>
    <row r="97" spans="2:8" x14ac:dyDescent="0.25">
      <c r="B97" s="34"/>
      <c r="C97" s="35"/>
      <c r="D97" s="34"/>
      <c r="F97" s="40"/>
      <c r="G97" s="40"/>
      <c r="H97" s="40"/>
    </row>
    <row r="98" spans="2:8" x14ac:dyDescent="0.25">
      <c r="B98" s="34"/>
      <c r="C98" s="35"/>
      <c r="D98" s="34"/>
      <c r="F98" s="40"/>
      <c r="G98" s="40"/>
      <c r="H98" s="40"/>
    </row>
    <row r="99" spans="2:8" x14ac:dyDescent="0.25">
      <c r="B99" s="34"/>
      <c r="C99" s="35"/>
      <c r="D99" s="34"/>
      <c r="F99" s="40"/>
      <c r="G99" s="40"/>
      <c r="H99" s="40"/>
    </row>
    <row r="100" spans="2:8" x14ac:dyDescent="0.25">
      <c r="B100" s="34"/>
      <c r="C100" s="35"/>
      <c r="D100" s="34"/>
      <c r="F100" s="40"/>
      <c r="G100" s="40"/>
      <c r="H100" s="40"/>
    </row>
    <row r="101" spans="2:8" x14ac:dyDescent="0.25">
      <c r="B101" s="34"/>
      <c r="C101" s="35"/>
      <c r="D101" s="34"/>
      <c r="F101" s="40"/>
      <c r="G101" s="40"/>
      <c r="H101" s="40"/>
    </row>
    <row r="102" spans="2:8" x14ac:dyDescent="0.25">
      <c r="B102" s="34"/>
      <c r="C102" s="35"/>
      <c r="D102" s="34"/>
      <c r="F102" s="40"/>
      <c r="G102" s="40"/>
      <c r="H102" s="40"/>
    </row>
    <row r="103" spans="2:8" x14ac:dyDescent="0.25">
      <c r="B103" s="34"/>
      <c r="C103" s="35"/>
      <c r="D103" s="34"/>
      <c r="F103" s="40"/>
      <c r="G103" s="40"/>
      <c r="H103" s="40"/>
    </row>
    <row r="104" spans="2:8" x14ac:dyDescent="0.25">
      <c r="B104" s="34"/>
      <c r="C104" s="35"/>
      <c r="D104" s="34"/>
      <c r="F104" s="40"/>
      <c r="G104" s="40"/>
      <c r="H104" s="40"/>
    </row>
    <row r="105" spans="2:8" x14ac:dyDescent="0.25">
      <c r="B105" s="34"/>
      <c r="C105" s="35"/>
      <c r="D105" s="34"/>
      <c r="F105" s="40"/>
      <c r="G105" s="40"/>
      <c r="H105" s="40"/>
    </row>
    <row r="106" spans="2:8" x14ac:dyDescent="0.25">
      <c r="B106" s="34"/>
      <c r="C106" s="35"/>
      <c r="D106" s="34"/>
      <c r="F106" s="40"/>
      <c r="G106" s="40"/>
      <c r="H106" s="40"/>
    </row>
    <row r="107" spans="2:8" x14ac:dyDescent="0.25">
      <c r="B107" s="34"/>
      <c r="C107" s="35"/>
      <c r="D107" s="34"/>
      <c r="F107" s="40"/>
      <c r="G107" s="40"/>
      <c r="H107" s="40"/>
    </row>
    <row r="108" spans="2:8" x14ac:dyDescent="0.25">
      <c r="B108" s="34"/>
      <c r="C108" s="35"/>
      <c r="D108" s="34"/>
      <c r="F108" s="40"/>
      <c r="G108" s="40"/>
      <c r="H108" s="40"/>
    </row>
    <row r="109" spans="2:8" x14ac:dyDescent="0.25">
      <c r="B109" s="34"/>
      <c r="C109" s="35"/>
      <c r="D109" s="34"/>
      <c r="F109" s="40"/>
      <c r="G109" s="40"/>
      <c r="H109" s="40"/>
    </row>
    <row r="110" spans="2:8" x14ac:dyDescent="0.25">
      <c r="B110" s="34"/>
      <c r="C110" s="35"/>
      <c r="D110" s="34"/>
      <c r="F110" s="40"/>
      <c r="G110" s="40"/>
      <c r="H110" s="40"/>
    </row>
    <row r="111" spans="2:8" x14ac:dyDescent="0.25">
      <c r="B111" s="34"/>
      <c r="C111" s="35"/>
      <c r="D111" s="34"/>
      <c r="F111" s="40"/>
      <c r="G111" s="40"/>
      <c r="H111" s="40"/>
    </row>
    <row r="112" spans="2:8" x14ac:dyDescent="0.25">
      <c r="B112" s="34"/>
      <c r="C112" s="35"/>
      <c r="D112" s="34"/>
      <c r="F112" s="40"/>
      <c r="G112" s="40"/>
      <c r="H112" s="40"/>
    </row>
    <row r="113" spans="2:8" x14ac:dyDescent="0.25">
      <c r="B113" s="34"/>
      <c r="C113" s="35"/>
      <c r="D113" s="34"/>
      <c r="F113" s="40"/>
      <c r="G113" s="40"/>
      <c r="H113" s="40"/>
    </row>
    <row r="114" spans="2:8" x14ac:dyDescent="0.25">
      <c r="B114" s="34"/>
      <c r="C114" s="35"/>
      <c r="D114" s="34"/>
      <c r="F114" s="40"/>
      <c r="G114" s="40"/>
      <c r="H114" s="40"/>
    </row>
    <row r="115" spans="2:8" x14ac:dyDescent="0.25">
      <c r="B115" s="34"/>
      <c r="C115" s="35"/>
      <c r="D115" s="34"/>
      <c r="F115" s="40"/>
      <c r="G115" s="40"/>
      <c r="H115" s="40"/>
    </row>
    <row r="116" spans="2:8" x14ac:dyDescent="0.25">
      <c r="B116" s="34"/>
      <c r="C116" s="35"/>
      <c r="D116" s="34"/>
      <c r="F116" s="40"/>
      <c r="G116" s="40"/>
      <c r="H116" s="40"/>
    </row>
    <row r="117" spans="2:8" x14ac:dyDescent="0.25">
      <c r="B117" s="34"/>
      <c r="C117" s="35"/>
      <c r="D117" s="34"/>
      <c r="F117" s="40"/>
      <c r="G117" s="40"/>
      <c r="H117" s="40"/>
    </row>
    <row r="118" spans="2:8" x14ac:dyDescent="0.25">
      <c r="B118" s="34"/>
      <c r="C118" s="35"/>
      <c r="D118" s="34"/>
      <c r="F118" s="40"/>
      <c r="G118" s="40"/>
      <c r="H118" s="40"/>
    </row>
    <row r="119" spans="2:8" x14ac:dyDescent="0.25">
      <c r="B119" s="34"/>
      <c r="C119" s="35"/>
      <c r="D119" s="34"/>
      <c r="F119" s="40"/>
      <c r="G119" s="40"/>
      <c r="H119" s="40"/>
    </row>
    <row r="120" spans="2:8" x14ac:dyDescent="0.25">
      <c r="B120" s="34"/>
      <c r="C120" s="35"/>
      <c r="D120" s="34"/>
      <c r="F120" s="40"/>
      <c r="G120" s="40"/>
      <c r="H120" s="40"/>
    </row>
    <row r="121" spans="2:8" x14ac:dyDescent="0.25">
      <c r="B121" s="34"/>
      <c r="C121" s="35"/>
      <c r="D121" s="34"/>
      <c r="F121" s="40"/>
      <c r="G121" s="40"/>
      <c r="H121" s="40"/>
    </row>
    <row r="122" spans="2:8" x14ac:dyDescent="0.25">
      <c r="B122" s="34"/>
      <c r="C122" s="35"/>
      <c r="D122" s="34"/>
      <c r="F122" s="40"/>
      <c r="G122" s="40"/>
      <c r="H122" s="40"/>
    </row>
    <row r="123" spans="2:8" x14ac:dyDescent="0.25">
      <c r="B123" s="34"/>
      <c r="C123" s="35"/>
      <c r="D123" s="34"/>
      <c r="F123" s="40"/>
      <c r="G123" s="40"/>
      <c r="H123" s="40"/>
    </row>
    <row r="124" spans="2:8" x14ac:dyDescent="0.25">
      <c r="B124" s="34"/>
      <c r="C124" s="35"/>
      <c r="D124" s="34"/>
      <c r="F124" s="40"/>
      <c r="G124" s="40"/>
      <c r="H124" s="40"/>
    </row>
    <row r="125" spans="2:8" x14ac:dyDescent="0.25">
      <c r="B125" s="34"/>
      <c r="C125" s="35"/>
      <c r="D125" s="34"/>
      <c r="F125" s="40"/>
      <c r="G125" s="40"/>
      <c r="H125" s="40"/>
    </row>
    <row r="126" spans="2:8" x14ac:dyDescent="0.25">
      <c r="B126" s="34"/>
      <c r="C126" s="35"/>
      <c r="D126" s="34"/>
      <c r="F126" s="40"/>
      <c r="G126" s="40"/>
      <c r="H126" s="40"/>
    </row>
    <row r="127" spans="2:8" x14ac:dyDescent="0.25">
      <c r="B127" s="34"/>
      <c r="C127" s="35"/>
      <c r="D127" s="34"/>
      <c r="F127" s="40"/>
      <c r="G127" s="40"/>
      <c r="H127" s="40"/>
    </row>
    <row r="128" spans="2:8" x14ac:dyDescent="0.25">
      <c r="B128" s="34"/>
      <c r="C128" s="35"/>
      <c r="D128" s="34"/>
      <c r="F128" s="40"/>
      <c r="G128" s="40"/>
      <c r="H128" s="40"/>
    </row>
    <row r="129" spans="2:8" x14ac:dyDescent="0.25">
      <c r="B129" s="34"/>
      <c r="C129" s="35"/>
      <c r="D129" s="34"/>
      <c r="F129" s="40"/>
      <c r="G129" s="40"/>
      <c r="H129" s="40"/>
    </row>
    <row r="130" spans="2:8" x14ac:dyDescent="0.25">
      <c r="B130" s="34"/>
      <c r="C130" s="35"/>
      <c r="D130" s="34"/>
      <c r="F130" s="40"/>
      <c r="G130" s="40"/>
      <c r="H130" s="40"/>
    </row>
    <row r="131" spans="2:8" x14ac:dyDescent="0.25">
      <c r="B131" s="34"/>
      <c r="C131" s="35"/>
      <c r="D131" s="34"/>
      <c r="F131" s="40"/>
      <c r="G131" s="40"/>
      <c r="H131" s="40"/>
    </row>
    <row r="132" spans="2:8" x14ac:dyDescent="0.25">
      <c r="B132" s="34"/>
      <c r="C132" s="35"/>
      <c r="D132" s="34"/>
      <c r="F132" s="40"/>
      <c r="G132" s="40"/>
      <c r="H132" s="40"/>
    </row>
    <row r="133" spans="2:8" x14ac:dyDescent="0.25">
      <c r="B133" s="34"/>
      <c r="C133" s="35"/>
      <c r="D133" s="34"/>
      <c r="F133" s="40"/>
      <c r="G133" s="40"/>
      <c r="H133" s="40"/>
    </row>
    <row r="134" spans="2:8" x14ac:dyDescent="0.25">
      <c r="B134" s="34"/>
      <c r="C134" s="35"/>
      <c r="D134" s="34"/>
      <c r="F134" s="40"/>
      <c r="G134" s="40"/>
      <c r="H134" s="40"/>
    </row>
    <row r="135" spans="2:8" x14ac:dyDescent="0.25">
      <c r="B135" s="34"/>
      <c r="C135" s="35"/>
      <c r="D135" s="34"/>
      <c r="F135" s="40"/>
      <c r="G135" s="40"/>
      <c r="H135" s="40"/>
    </row>
    <row r="136" spans="2:8" x14ac:dyDescent="0.25">
      <c r="B136" s="34"/>
      <c r="C136" s="35"/>
      <c r="D136" s="34"/>
      <c r="F136" s="40"/>
      <c r="G136" s="40"/>
      <c r="H136" s="40"/>
    </row>
    <row r="137" spans="2:8" x14ac:dyDescent="0.25">
      <c r="B137" s="34"/>
      <c r="C137" s="35"/>
      <c r="D137" s="34"/>
      <c r="F137" s="40"/>
      <c r="G137" s="40"/>
      <c r="H137" s="40"/>
    </row>
    <row r="138" spans="2:8" x14ac:dyDescent="0.25">
      <c r="B138" s="34"/>
      <c r="C138" s="35"/>
      <c r="D138" s="34"/>
      <c r="F138" s="40"/>
      <c r="G138" s="40"/>
      <c r="H138" s="40"/>
    </row>
    <row r="139" spans="2:8" x14ac:dyDescent="0.25">
      <c r="B139" s="34"/>
      <c r="C139" s="35"/>
      <c r="D139" s="34"/>
      <c r="F139" s="40"/>
      <c r="G139" s="40"/>
      <c r="H139" s="40"/>
    </row>
    <row r="140" spans="2:8" x14ac:dyDescent="0.25">
      <c r="B140" s="34"/>
      <c r="C140" s="35"/>
      <c r="D140" s="34"/>
      <c r="F140" s="40"/>
      <c r="G140" s="40"/>
      <c r="H140" s="40"/>
    </row>
    <row r="141" spans="2:8" x14ac:dyDescent="0.25">
      <c r="B141" s="34"/>
      <c r="C141" s="35"/>
      <c r="D141" s="34"/>
      <c r="F141" s="40"/>
      <c r="G141" s="40"/>
      <c r="H141" s="40"/>
    </row>
    <row r="142" spans="2:8" x14ac:dyDescent="0.25">
      <c r="B142" s="34"/>
      <c r="C142" s="35"/>
      <c r="D142" s="34"/>
      <c r="F142" s="40"/>
      <c r="G142" s="40"/>
      <c r="H142" s="40"/>
    </row>
    <row r="143" spans="2:8" x14ac:dyDescent="0.25">
      <c r="B143" s="34"/>
      <c r="C143" s="35"/>
      <c r="D143" s="34"/>
      <c r="F143" s="40"/>
      <c r="G143" s="40"/>
      <c r="H143" s="40"/>
    </row>
    <row r="144" spans="2:8" x14ac:dyDescent="0.25">
      <c r="B144" s="34"/>
      <c r="C144" s="35"/>
      <c r="D144" s="34"/>
      <c r="F144" s="40"/>
      <c r="G144" s="40"/>
      <c r="H144" s="40"/>
    </row>
    <row r="145" spans="2:8" x14ac:dyDescent="0.25">
      <c r="B145" s="34"/>
      <c r="C145" s="35"/>
      <c r="D145" s="34"/>
      <c r="F145" s="40"/>
      <c r="G145" s="40"/>
      <c r="H145" s="40"/>
    </row>
    <row r="146" spans="2:8" x14ac:dyDescent="0.25">
      <c r="B146" s="34"/>
      <c r="C146" s="35"/>
      <c r="D146" s="34"/>
      <c r="F146" s="40"/>
      <c r="G146" s="40"/>
      <c r="H146" s="40"/>
    </row>
    <row r="147" spans="2:8" x14ac:dyDescent="0.25">
      <c r="B147" s="34"/>
      <c r="C147" s="35"/>
      <c r="D147" s="34"/>
      <c r="F147" s="40"/>
      <c r="G147" s="40"/>
      <c r="H147" s="40"/>
    </row>
    <row r="148" spans="2:8" x14ac:dyDescent="0.25">
      <c r="B148" s="34"/>
      <c r="C148" s="35"/>
      <c r="D148" s="34"/>
      <c r="F148" s="40"/>
      <c r="G148" s="40"/>
      <c r="H148" s="40"/>
    </row>
    <row r="149" spans="2:8" x14ac:dyDescent="0.25">
      <c r="B149" s="34"/>
      <c r="C149" s="35"/>
      <c r="D149" s="34"/>
      <c r="F149" s="40"/>
      <c r="G149" s="40"/>
      <c r="H149" s="40"/>
    </row>
    <row r="150" spans="2:8" x14ac:dyDescent="0.25">
      <c r="B150" s="34"/>
      <c r="C150" s="35"/>
      <c r="D150" s="34"/>
      <c r="F150" s="40"/>
      <c r="G150" s="40"/>
      <c r="H150" s="40"/>
    </row>
    <row r="151" spans="2:8" x14ac:dyDescent="0.25">
      <c r="B151" s="34"/>
      <c r="C151" s="35"/>
      <c r="D151" s="34"/>
      <c r="F151" s="40"/>
      <c r="G151" s="40"/>
      <c r="H151" s="40"/>
    </row>
    <row r="152" spans="2:8" x14ac:dyDescent="0.25">
      <c r="B152" s="34"/>
      <c r="C152" s="35"/>
      <c r="D152" s="34"/>
      <c r="F152" s="40"/>
      <c r="G152" s="40"/>
      <c r="H152" s="40"/>
    </row>
    <row r="153" spans="2:8" x14ac:dyDescent="0.25">
      <c r="B153" s="34"/>
      <c r="C153" s="35"/>
      <c r="D153" s="34"/>
      <c r="F153" s="40"/>
      <c r="G153" s="40"/>
      <c r="H153" s="40"/>
    </row>
    <row r="154" spans="2:8" x14ac:dyDescent="0.25">
      <c r="B154" s="34"/>
      <c r="C154" s="35"/>
      <c r="D154" s="34"/>
      <c r="F154" s="40"/>
      <c r="G154" s="40"/>
      <c r="H154" s="40"/>
    </row>
    <row r="155" spans="2:8" x14ac:dyDescent="0.25">
      <c r="B155" s="34"/>
      <c r="C155" s="35"/>
      <c r="D155" s="34"/>
      <c r="F155" s="40"/>
      <c r="G155" s="40"/>
      <c r="H155" s="40"/>
    </row>
    <row r="156" spans="2:8" x14ac:dyDescent="0.25">
      <c r="B156" s="34"/>
      <c r="C156" s="35"/>
      <c r="D156" s="34"/>
      <c r="F156" s="40"/>
      <c r="G156" s="40"/>
      <c r="H156" s="40"/>
    </row>
    <row r="157" spans="2:8" x14ac:dyDescent="0.25">
      <c r="B157" s="34"/>
      <c r="C157" s="35"/>
      <c r="D157" s="34"/>
      <c r="F157" s="40"/>
      <c r="G157" s="40"/>
      <c r="H157" s="40"/>
    </row>
    <row r="158" spans="2:8" x14ac:dyDescent="0.25">
      <c r="B158" s="34"/>
      <c r="C158" s="35"/>
      <c r="D158" s="34"/>
      <c r="F158" s="40"/>
      <c r="G158" s="40"/>
      <c r="H158" s="40"/>
    </row>
    <row r="159" spans="2:8" x14ac:dyDescent="0.25">
      <c r="B159" s="34"/>
      <c r="C159" s="35"/>
      <c r="D159" s="34"/>
      <c r="F159" s="40"/>
      <c r="G159" s="40"/>
      <c r="H159" s="40"/>
    </row>
    <row r="160" spans="2:8" x14ac:dyDescent="0.25">
      <c r="B160" s="34"/>
      <c r="C160" s="35"/>
      <c r="D160" s="34"/>
      <c r="F160" s="40"/>
      <c r="G160" s="40"/>
      <c r="H160" s="40"/>
    </row>
    <row r="161" spans="2:8" x14ac:dyDescent="0.25">
      <c r="B161" s="34"/>
      <c r="C161" s="35"/>
      <c r="D161" s="34"/>
      <c r="F161" s="40"/>
      <c r="G161" s="40"/>
      <c r="H161" s="40"/>
    </row>
    <row r="162" spans="2:8" x14ac:dyDescent="0.25">
      <c r="B162" s="34"/>
      <c r="C162" s="35"/>
      <c r="D162" s="34"/>
      <c r="F162" s="40"/>
      <c r="G162" s="40"/>
      <c r="H162" s="40"/>
    </row>
    <row r="163" spans="2:8" x14ac:dyDescent="0.25">
      <c r="B163" s="34"/>
      <c r="C163" s="35"/>
      <c r="D163" s="34"/>
      <c r="F163" s="40"/>
      <c r="G163" s="40"/>
      <c r="H163" s="40"/>
    </row>
    <row r="164" spans="2:8" x14ac:dyDescent="0.25">
      <c r="B164" s="34"/>
      <c r="C164" s="35"/>
      <c r="D164" s="34"/>
      <c r="F164" s="40"/>
      <c r="G164" s="40"/>
      <c r="H164" s="40"/>
    </row>
    <row r="165" spans="2:8" x14ac:dyDescent="0.25">
      <c r="B165" s="34"/>
      <c r="C165" s="35"/>
      <c r="D165" s="34"/>
      <c r="F165" s="40"/>
      <c r="G165" s="40"/>
      <c r="H165" s="40"/>
    </row>
    <row r="166" spans="2:8" x14ac:dyDescent="0.25">
      <c r="B166" s="34"/>
      <c r="C166" s="35"/>
      <c r="D166" s="34"/>
      <c r="F166" s="40"/>
      <c r="G166" s="40"/>
      <c r="H166" s="40"/>
    </row>
    <row r="167" spans="2:8" x14ac:dyDescent="0.25">
      <c r="B167" s="34"/>
      <c r="C167" s="35"/>
      <c r="D167" s="34"/>
      <c r="F167" s="40"/>
      <c r="G167" s="40"/>
      <c r="H167" s="40"/>
    </row>
    <row r="168" spans="2:8" x14ac:dyDescent="0.25">
      <c r="B168" s="34"/>
      <c r="C168" s="35"/>
      <c r="D168" s="34"/>
      <c r="F168" s="40"/>
      <c r="G168" s="40"/>
      <c r="H168" s="40"/>
    </row>
    <row r="169" spans="2:8" x14ac:dyDescent="0.25">
      <c r="B169" s="34"/>
      <c r="C169" s="35"/>
      <c r="D169" s="34"/>
      <c r="F169" s="40"/>
      <c r="G169" s="40"/>
      <c r="H169" s="40"/>
    </row>
    <row r="170" spans="2:8" x14ac:dyDescent="0.25">
      <c r="B170" s="34"/>
      <c r="C170" s="35"/>
      <c r="D170" s="34"/>
      <c r="F170" s="40"/>
      <c r="G170" s="40"/>
      <c r="H170" s="40"/>
    </row>
    <row r="171" spans="2:8" x14ac:dyDescent="0.25">
      <c r="B171" s="34"/>
      <c r="C171" s="35"/>
      <c r="D171" s="34"/>
      <c r="F171" s="40"/>
      <c r="G171" s="40"/>
      <c r="H171" s="40"/>
    </row>
    <row r="172" spans="2:8" x14ac:dyDescent="0.25">
      <c r="B172" s="34"/>
      <c r="C172" s="35"/>
      <c r="D172" s="34"/>
      <c r="F172" s="40"/>
      <c r="G172" s="40"/>
      <c r="H172" s="40"/>
    </row>
    <row r="173" spans="2:8" x14ac:dyDescent="0.25">
      <c r="B173" s="34"/>
      <c r="C173" s="35"/>
      <c r="D173" s="34"/>
      <c r="F173" s="40"/>
      <c r="G173" s="40"/>
      <c r="H173" s="40"/>
    </row>
    <row r="174" spans="2:8" x14ac:dyDescent="0.25">
      <c r="B174" s="34"/>
      <c r="C174" s="35"/>
      <c r="D174" s="34"/>
      <c r="F174" s="40"/>
      <c r="G174" s="40"/>
      <c r="H174" s="40"/>
    </row>
    <row r="175" spans="2:8" x14ac:dyDescent="0.25">
      <c r="B175" s="34"/>
      <c r="C175" s="35"/>
      <c r="D175" s="34"/>
      <c r="F175" s="40"/>
      <c r="G175" s="40"/>
      <c r="H175" s="40"/>
    </row>
    <row r="176" spans="2:8" x14ac:dyDescent="0.25">
      <c r="B176" s="34"/>
      <c r="C176" s="35"/>
      <c r="D176" s="34"/>
      <c r="F176" s="40"/>
      <c r="G176" s="40"/>
      <c r="H176" s="40"/>
    </row>
    <row r="177" spans="2:8" x14ac:dyDescent="0.25">
      <c r="B177" s="34"/>
      <c r="C177" s="35"/>
      <c r="D177" s="34"/>
      <c r="F177" s="40"/>
      <c r="G177" s="40"/>
      <c r="H177" s="40"/>
    </row>
    <row r="178" spans="2:8" x14ac:dyDescent="0.25">
      <c r="B178" s="34"/>
      <c r="C178" s="35"/>
      <c r="D178" s="34"/>
      <c r="F178" s="40"/>
      <c r="G178" s="40"/>
      <c r="H178" s="40"/>
    </row>
    <row r="179" spans="2:8" x14ac:dyDescent="0.25">
      <c r="B179" s="34"/>
      <c r="C179" s="35"/>
      <c r="D179" s="34"/>
      <c r="F179" s="40"/>
      <c r="G179" s="40"/>
      <c r="H179" s="40"/>
    </row>
    <row r="180" spans="2:8" x14ac:dyDescent="0.25">
      <c r="B180" s="34"/>
      <c r="C180" s="35"/>
      <c r="D180" s="34"/>
      <c r="F180" s="40"/>
      <c r="G180" s="40"/>
      <c r="H180" s="40"/>
    </row>
    <row r="181" spans="2:8" x14ac:dyDescent="0.25">
      <c r="B181" s="34"/>
      <c r="C181" s="35"/>
      <c r="D181" s="34"/>
      <c r="F181" s="40"/>
      <c r="G181" s="40"/>
      <c r="H181" s="40"/>
    </row>
    <row r="182" spans="2:8" x14ac:dyDescent="0.25">
      <c r="B182" s="34"/>
      <c r="C182" s="35"/>
      <c r="D182" s="34"/>
      <c r="F182" s="40"/>
      <c r="G182" s="40"/>
      <c r="H182" s="40"/>
    </row>
    <row r="183" spans="2:8" x14ac:dyDescent="0.25">
      <c r="B183" s="34"/>
      <c r="C183" s="35"/>
      <c r="D183" s="34"/>
      <c r="F183" s="40"/>
      <c r="G183" s="40"/>
      <c r="H183" s="40"/>
    </row>
    <row r="184" spans="2:8" x14ac:dyDescent="0.25">
      <c r="B184" s="34"/>
      <c r="C184" s="35"/>
      <c r="D184" s="34"/>
      <c r="F184" s="40"/>
      <c r="G184" s="40"/>
      <c r="H184" s="40"/>
    </row>
    <row r="185" spans="2:8" x14ac:dyDescent="0.25">
      <c r="B185" s="34"/>
      <c r="C185" s="35"/>
      <c r="D185" s="34"/>
      <c r="F185" s="40"/>
      <c r="G185" s="40"/>
      <c r="H185" s="40"/>
    </row>
    <row r="186" spans="2:8" x14ac:dyDescent="0.25">
      <c r="B186" s="34"/>
      <c r="C186" s="35"/>
      <c r="D186" s="34"/>
      <c r="F186" s="40"/>
      <c r="G186" s="40"/>
      <c r="H186" s="40"/>
    </row>
    <row r="187" spans="2:8" x14ac:dyDescent="0.25">
      <c r="B187" s="34"/>
      <c r="C187" s="35"/>
      <c r="D187" s="34"/>
      <c r="F187" s="40"/>
      <c r="G187" s="40"/>
      <c r="H187" s="40"/>
    </row>
    <row r="188" spans="2:8" x14ac:dyDescent="0.25">
      <c r="B188" s="34"/>
      <c r="C188" s="35"/>
      <c r="D188" s="34"/>
      <c r="F188" s="40"/>
      <c r="G188" s="40"/>
      <c r="H188" s="40"/>
    </row>
    <row r="189" spans="2:8" x14ac:dyDescent="0.25">
      <c r="B189" s="34"/>
      <c r="C189" s="35"/>
      <c r="D189" s="34"/>
      <c r="F189" s="40"/>
      <c r="G189" s="40"/>
      <c r="H189" s="40"/>
    </row>
    <row r="190" spans="2:8" x14ac:dyDescent="0.25">
      <c r="B190" s="34"/>
      <c r="C190" s="35"/>
      <c r="D190" s="34"/>
      <c r="F190" s="40"/>
      <c r="G190" s="40"/>
      <c r="H190" s="40"/>
    </row>
    <row r="191" spans="2:8" x14ac:dyDescent="0.25">
      <c r="B191" s="34"/>
      <c r="C191" s="35"/>
      <c r="D191" s="34"/>
      <c r="F191" s="40"/>
      <c r="G191" s="40"/>
      <c r="H191" s="40"/>
    </row>
    <row r="192" spans="2:8" x14ac:dyDescent="0.25">
      <c r="B192" s="34"/>
      <c r="C192" s="35"/>
      <c r="D192" s="34"/>
      <c r="F192" s="40"/>
      <c r="G192" s="40"/>
      <c r="H192" s="40"/>
    </row>
    <row r="193" spans="2:8" x14ac:dyDescent="0.25">
      <c r="B193" s="34"/>
      <c r="C193" s="35"/>
      <c r="D193" s="34"/>
      <c r="F193" s="40"/>
      <c r="G193" s="40"/>
      <c r="H193" s="40"/>
    </row>
    <row r="194" spans="2:8" x14ac:dyDescent="0.25">
      <c r="B194" s="34"/>
      <c r="C194" s="35"/>
      <c r="D194" s="34"/>
      <c r="F194" s="40"/>
      <c r="G194" s="40"/>
      <c r="H194" s="40"/>
    </row>
    <row r="195" spans="2:8" x14ac:dyDescent="0.25">
      <c r="B195" s="34"/>
      <c r="C195" s="35"/>
      <c r="D195" s="34"/>
      <c r="F195" s="40"/>
      <c r="G195" s="40"/>
      <c r="H195" s="40"/>
    </row>
    <row r="196" spans="2:8" x14ac:dyDescent="0.25">
      <c r="B196" s="34"/>
      <c r="C196" s="35"/>
      <c r="D196" s="34"/>
      <c r="F196" s="40"/>
      <c r="G196" s="40"/>
      <c r="H196" s="40"/>
    </row>
    <row r="197" spans="2:8" x14ac:dyDescent="0.25">
      <c r="B197" s="34"/>
      <c r="C197" s="35"/>
      <c r="D197" s="34"/>
      <c r="F197" s="40"/>
      <c r="G197" s="40"/>
      <c r="H197" s="40"/>
    </row>
    <row r="198" spans="2:8" x14ac:dyDescent="0.25">
      <c r="B198" s="34"/>
      <c r="C198" s="35"/>
      <c r="D198" s="34"/>
      <c r="F198" s="40"/>
      <c r="G198" s="40"/>
      <c r="H198" s="40"/>
    </row>
    <row r="199" spans="2:8" x14ac:dyDescent="0.25">
      <c r="B199" s="34"/>
      <c r="C199" s="35"/>
      <c r="D199" s="34"/>
      <c r="F199" s="40"/>
      <c r="G199" s="40"/>
      <c r="H199" s="40"/>
    </row>
    <row r="200" spans="2:8" x14ac:dyDescent="0.25">
      <c r="B200" s="34"/>
      <c r="C200" s="35"/>
      <c r="D200" s="34"/>
      <c r="F200" s="40"/>
      <c r="G200" s="40"/>
      <c r="H200" s="40"/>
    </row>
    <row r="201" spans="2:8" x14ac:dyDescent="0.25">
      <c r="B201" s="34"/>
      <c r="C201" s="35"/>
      <c r="D201" s="34"/>
      <c r="F201" s="40"/>
      <c r="G201" s="40"/>
      <c r="H201" s="40"/>
    </row>
    <row r="202" spans="2:8" x14ac:dyDescent="0.25">
      <c r="B202" s="34"/>
      <c r="C202" s="35"/>
      <c r="D202" s="34"/>
      <c r="F202" s="40"/>
      <c r="G202" s="40"/>
      <c r="H202" s="40"/>
    </row>
    <row r="203" spans="2:8" x14ac:dyDescent="0.25">
      <c r="B203" s="34"/>
      <c r="C203" s="35"/>
      <c r="D203" s="34"/>
      <c r="F203" s="40"/>
      <c r="G203" s="40"/>
      <c r="H203" s="40"/>
    </row>
    <row r="204" spans="2:8" x14ac:dyDescent="0.25">
      <c r="B204" s="34"/>
      <c r="C204" s="35"/>
      <c r="D204" s="34"/>
      <c r="F204" s="40"/>
      <c r="G204" s="40"/>
      <c r="H204" s="40"/>
    </row>
    <row r="205" spans="2:8" x14ac:dyDescent="0.25">
      <c r="B205" s="34"/>
      <c r="C205" s="35"/>
      <c r="D205" s="34"/>
      <c r="F205" s="40"/>
      <c r="G205" s="40"/>
      <c r="H205" s="40"/>
    </row>
    <row r="206" spans="2:8" x14ac:dyDescent="0.25">
      <c r="B206" s="34"/>
      <c r="C206" s="35"/>
      <c r="D206" s="34"/>
      <c r="F206" s="40"/>
      <c r="G206" s="40"/>
      <c r="H206" s="40"/>
    </row>
    <row r="207" spans="2:8" x14ac:dyDescent="0.25">
      <c r="B207" s="34"/>
      <c r="C207" s="35"/>
      <c r="D207" s="34"/>
      <c r="F207" s="40"/>
      <c r="G207" s="40"/>
      <c r="H207" s="40"/>
    </row>
    <row r="208" spans="2:8" x14ac:dyDescent="0.25">
      <c r="B208" s="34"/>
      <c r="C208" s="35"/>
      <c r="D208" s="34"/>
      <c r="F208" s="40"/>
      <c r="G208" s="40"/>
      <c r="H208" s="40"/>
    </row>
    <row r="209" spans="2:8" x14ac:dyDescent="0.25">
      <c r="B209" s="34"/>
      <c r="C209" s="35"/>
      <c r="D209" s="34"/>
      <c r="F209" s="40"/>
      <c r="G209" s="40"/>
      <c r="H209" s="40"/>
    </row>
    <row r="210" spans="2:8" x14ac:dyDescent="0.25">
      <c r="B210" s="34"/>
      <c r="C210" s="35"/>
      <c r="D210" s="34"/>
      <c r="F210" s="40"/>
      <c r="G210" s="40"/>
      <c r="H210" s="40"/>
    </row>
    <row r="211" spans="2:8" x14ac:dyDescent="0.25">
      <c r="B211" s="34"/>
      <c r="C211" s="35"/>
      <c r="D211" s="34"/>
      <c r="F211" s="40"/>
      <c r="G211" s="40"/>
      <c r="H211" s="40"/>
    </row>
    <row r="212" spans="2:8" x14ac:dyDescent="0.25">
      <c r="B212" s="34"/>
      <c r="C212" s="35"/>
      <c r="D212" s="34"/>
      <c r="F212" s="40"/>
      <c r="G212" s="40"/>
      <c r="H212" s="40"/>
    </row>
    <row r="213" spans="2:8" x14ac:dyDescent="0.25">
      <c r="B213" s="34"/>
      <c r="C213" s="35"/>
      <c r="D213" s="34"/>
      <c r="F213" s="40"/>
      <c r="G213" s="40"/>
      <c r="H213" s="40"/>
    </row>
    <row r="214" spans="2:8" x14ac:dyDescent="0.25">
      <c r="B214" s="34"/>
      <c r="C214" s="35"/>
      <c r="D214" s="34"/>
      <c r="F214" s="40"/>
      <c r="G214" s="40"/>
      <c r="H214" s="40"/>
    </row>
    <row r="215" spans="2:8" x14ac:dyDescent="0.25">
      <c r="B215" s="34"/>
      <c r="C215" s="35"/>
      <c r="D215" s="34"/>
      <c r="F215" s="40"/>
      <c r="G215" s="40"/>
      <c r="H215" s="40"/>
    </row>
    <row r="216" spans="2:8" x14ac:dyDescent="0.25">
      <c r="B216" s="34"/>
      <c r="C216" s="35"/>
      <c r="D216" s="34"/>
      <c r="F216" s="40"/>
      <c r="G216" s="40"/>
      <c r="H216" s="40"/>
    </row>
    <row r="217" spans="2:8" x14ac:dyDescent="0.25">
      <c r="B217" s="34"/>
      <c r="C217" s="35"/>
      <c r="D217" s="34"/>
      <c r="F217" s="40"/>
      <c r="G217" s="40"/>
      <c r="H217" s="40"/>
    </row>
    <row r="218" spans="2:8" x14ac:dyDescent="0.25">
      <c r="B218" s="34"/>
      <c r="C218" s="35"/>
      <c r="D218" s="34"/>
      <c r="F218" s="40"/>
      <c r="G218" s="40"/>
      <c r="H218" s="40"/>
    </row>
    <row r="219" spans="2:8" x14ac:dyDescent="0.25">
      <c r="B219" s="34"/>
      <c r="C219" s="35"/>
      <c r="D219" s="34"/>
      <c r="F219" s="40"/>
      <c r="G219" s="40"/>
      <c r="H219" s="40"/>
    </row>
    <row r="220" spans="2:8" x14ac:dyDescent="0.25">
      <c r="B220" s="34"/>
      <c r="C220" s="35"/>
      <c r="D220" s="34"/>
      <c r="F220" s="40"/>
      <c r="G220" s="40"/>
      <c r="H220" s="40"/>
    </row>
    <row r="221" spans="2:8" x14ac:dyDescent="0.25">
      <c r="B221" s="34"/>
      <c r="C221" s="35"/>
      <c r="D221" s="34"/>
      <c r="F221" s="40"/>
      <c r="G221" s="40"/>
      <c r="H221" s="40"/>
    </row>
    <row r="222" spans="2:8" x14ac:dyDescent="0.25">
      <c r="B222" s="34"/>
      <c r="C222" s="35"/>
      <c r="D222" s="34"/>
      <c r="F222" s="40"/>
      <c r="G222" s="40"/>
      <c r="H222" s="40"/>
    </row>
    <row r="223" spans="2:8" x14ac:dyDescent="0.25">
      <c r="B223" s="34"/>
      <c r="C223" s="35"/>
      <c r="D223" s="34"/>
      <c r="F223" s="40"/>
      <c r="G223" s="40"/>
      <c r="H223" s="40"/>
    </row>
    <row r="224" spans="2:8" x14ac:dyDescent="0.25">
      <c r="B224" s="34"/>
      <c r="C224" s="35"/>
      <c r="D224" s="34"/>
      <c r="F224" s="40"/>
      <c r="G224" s="40"/>
      <c r="H224" s="40"/>
    </row>
    <row r="225" spans="2:8" x14ac:dyDescent="0.25">
      <c r="B225" s="34"/>
      <c r="C225" s="35"/>
      <c r="D225" s="34"/>
      <c r="F225" s="40"/>
      <c r="G225" s="40"/>
      <c r="H225" s="40"/>
    </row>
    <row r="226" spans="2:8" x14ac:dyDescent="0.25">
      <c r="B226" s="34"/>
      <c r="C226" s="35"/>
      <c r="D226" s="34"/>
      <c r="F226" s="40"/>
      <c r="G226" s="40"/>
      <c r="H226" s="40"/>
    </row>
    <row r="227" spans="2:8" x14ac:dyDescent="0.25">
      <c r="B227" s="34"/>
      <c r="C227" s="35"/>
      <c r="D227" s="34"/>
      <c r="F227" s="40"/>
      <c r="G227" s="40"/>
      <c r="H227" s="40"/>
    </row>
    <row r="228" spans="2:8" x14ac:dyDescent="0.25">
      <c r="B228" s="34"/>
      <c r="C228" s="35"/>
      <c r="D228" s="34"/>
      <c r="F228" s="40"/>
      <c r="G228" s="40"/>
      <c r="H228" s="40"/>
    </row>
    <row r="229" spans="2:8" x14ac:dyDescent="0.25">
      <c r="B229" s="34"/>
      <c r="C229" s="35"/>
      <c r="D229" s="34"/>
      <c r="F229" s="40"/>
      <c r="G229" s="40"/>
      <c r="H229" s="40"/>
    </row>
    <row r="230" spans="2:8" x14ac:dyDescent="0.25">
      <c r="B230" s="34"/>
      <c r="C230" s="35"/>
      <c r="D230" s="34"/>
      <c r="F230" s="40"/>
      <c r="G230" s="40"/>
      <c r="H230" s="40"/>
    </row>
    <row r="231" spans="2:8" x14ac:dyDescent="0.25">
      <c r="B231" s="34"/>
      <c r="C231" s="35"/>
      <c r="D231" s="34"/>
      <c r="F231" s="40"/>
      <c r="G231" s="40"/>
      <c r="H231" s="40"/>
    </row>
    <row r="232" spans="2:8" x14ac:dyDescent="0.25">
      <c r="B232" s="34"/>
      <c r="C232" s="35"/>
      <c r="D232" s="34"/>
      <c r="F232" s="40"/>
      <c r="G232" s="40"/>
      <c r="H232" s="40"/>
    </row>
    <row r="233" spans="2:8" x14ac:dyDescent="0.25">
      <c r="B233" s="34"/>
      <c r="C233" s="35"/>
      <c r="D233" s="34"/>
      <c r="F233" s="40"/>
      <c r="G233" s="40"/>
      <c r="H233" s="40"/>
    </row>
    <row r="234" spans="2:8" x14ac:dyDescent="0.25">
      <c r="B234" s="34"/>
      <c r="C234" s="35"/>
      <c r="D234" s="34"/>
      <c r="F234" s="40"/>
      <c r="G234" s="40"/>
      <c r="H234" s="40"/>
    </row>
    <row r="235" spans="2:8" x14ac:dyDescent="0.25">
      <c r="B235" s="34"/>
      <c r="C235" s="35"/>
      <c r="D235" s="34"/>
      <c r="F235" s="40"/>
      <c r="G235" s="40"/>
      <c r="H235" s="40"/>
    </row>
    <row r="236" spans="2:8" x14ac:dyDescent="0.25">
      <c r="B236" s="34"/>
      <c r="C236" s="35"/>
      <c r="D236" s="34"/>
      <c r="F236" s="40"/>
      <c r="G236" s="40"/>
      <c r="H236" s="40"/>
    </row>
    <row r="237" spans="2:8" x14ac:dyDescent="0.25">
      <c r="B237" s="34"/>
      <c r="C237" s="35"/>
      <c r="D237" s="34"/>
      <c r="F237" s="40"/>
      <c r="G237" s="40"/>
      <c r="H237" s="40"/>
    </row>
    <row r="238" spans="2:8" x14ac:dyDescent="0.25">
      <c r="B238" s="34"/>
      <c r="C238" s="35"/>
      <c r="D238" s="34"/>
      <c r="F238" s="40"/>
      <c r="G238" s="40"/>
      <c r="H238" s="40"/>
    </row>
    <row r="239" spans="2:8" x14ac:dyDescent="0.25">
      <c r="B239" s="34"/>
      <c r="C239" s="35"/>
      <c r="D239" s="34"/>
      <c r="F239" s="40"/>
      <c r="G239" s="40"/>
      <c r="H239" s="40"/>
    </row>
    <row r="240" spans="2:8" x14ac:dyDescent="0.25">
      <c r="B240" s="34"/>
      <c r="C240" s="35"/>
      <c r="D240" s="34"/>
      <c r="F240" s="40"/>
      <c r="G240" s="40"/>
      <c r="H240" s="40"/>
    </row>
    <row r="241" spans="2:8" x14ac:dyDescent="0.25">
      <c r="B241" s="34"/>
      <c r="C241" s="35"/>
      <c r="D241" s="34"/>
      <c r="F241" s="40"/>
      <c r="G241" s="40"/>
      <c r="H241" s="40"/>
    </row>
    <row r="242" spans="2:8" x14ac:dyDescent="0.25">
      <c r="B242" s="34"/>
      <c r="C242" s="35"/>
      <c r="D242" s="34"/>
      <c r="F242" s="40"/>
      <c r="G242" s="40"/>
      <c r="H242" s="40"/>
    </row>
    <row r="243" spans="2:8" x14ac:dyDescent="0.25">
      <c r="B243" s="34"/>
      <c r="C243" s="35"/>
      <c r="D243" s="34"/>
      <c r="F243" s="40"/>
      <c r="G243" s="40"/>
      <c r="H243" s="40"/>
    </row>
    <row r="244" spans="2:8" x14ac:dyDescent="0.25">
      <c r="B244" s="34"/>
      <c r="C244" s="35"/>
      <c r="D244" s="34"/>
      <c r="F244" s="40"/>
      <c r="G244" s="40"/>
      <c r="H244" s="40"/>
    </row>
    <row r="245" spans="2:8" x14ac:dyDescent="0.25">
      <c r="B245" s="34"/>
      <c r="C245" s="35"/>
      <c r="D245" s="34"/>
      <c r="F245" s="40"/>
      <c r="G245" s="40"/>
      <c r="H245" s="40"/>
    </row>
    <row r="246" spans="2:8" x14ac:dyDescent="0.25">
      <c r="B246" s="34"/>
      <c r="C246" s="35"/>
      <c r="D246" s="34"/>
      <c r="F246" s="40"/>
      <c r="G246" s="40"/>
      <c r="H246" s="40"/>
    </row>
    <row r="247" spans="2:8" x14ac:dyDescent="0.25">
      <c r="B247" s="34"/>
      <c r="C247" s="35"/>
      <c r="D247" s="34"/>
      <c r="F247" s="40"/>
      <c r="G247" s="40"/>
      <c r="H247" s="40"/>
    </row>
    <row r="248" spans="2:8" x14ac:dyDescent="0.25">
      <c r="B248" s="34"/>
      <c r="C248" s="35"/>
      <c r="D248" s="34"/>
      <c r="F248" s="40"/>
      <c r="G248" s="40"/>
      <c r="H248" s="40"/>
    </row>
    <row r="249" spans="2:8" x14ac:dyDescent="0.25">
      <c r="B249" s="34"/>
      <c r="C249" s="35"/>
      <c r="D249" s="34"/>
      <c r="F249" s="40"/>
      <c r="G249" s="40"/>
      <c r="H249" s="40"/>
    </row>
    <row r="250" spans="2:8" x14ac:dyDescent="0.25">
      <c r="B250" s="34"/>
      <c r="C250" s="35"/>
      <c r="D250" s="34"/>
      <c r="F250" s="40"/>
      <c r="G250" s="40"/>
      <c r="H250" s="40"/>
    </row>
    <row r="251" spans="2:8" x14ac:dyDescent="0.25">
      <c r="B251" s="34"/>
      <c r="C251" s="35"/>
      <c r="D251" s="34"/>
      <c r="F251" s="40"/>
      <c r="G251" s="40"/>
      <c r="H251" s="40"/>
    </row>
    <row r="252" spans="2:8" x14ac:dyDescent="0.25">
      <c r="B252" s="34"/>
      <c r="C252" s="35"/>
      <c r="D252" s="34"/>
      <c r="F252" s="40"/>
      <c r="G252" s="40"/>
      <c r="H252" s="40"/>
    </row>
    <row r="253" spans="2:8" x14ac:dyDescent="0.25">
      <c r="B253" s="34"/>
      <c r="C253" s="35"/>
      <c r="D253" s="34"/>
      <c r="F253" s="40"/>
      <c r="G253" s="40"/>
      <c r="H253" s="40"/>
    </row>
    <row r="254" spans="2:8" x14ac:dyDescent="0.25">
      <c r="B254" s="34"/>
      <c r="C254" s="35"/>
      <c r="D254" s="34"/>
      <c r="F254" s="40"/>
      <c r="G254" s="40"/>
      <c r="H254" s="40"/>
    </row>
    <row r="255" spans="2:8" x14ac:dyDescent="0.25">
      <c r="B255" s="34"/>
      <c r="C255" s="35"/>
      <c r="D255" s="34"/>
      <c r="F255" s="40"/>
      <c r="G255" s="40"/>
      <c r="H255" s="40"/>
    </row>
    <row r="256" spans="2:8" x14ac:dyDescent="0.25">
      <c r="B256" s="34"/>
      <c r="C256" s="35"/>
      <c r="D256" s="34"/>
      <c r="F256" s="40"/>
      <c r="G256" s="40"/>
      <c r="H256" s="40"/>
    </row>
    <row r="257" spans="2:8" x14ac:dyDescent="0.25">
      <c r="B257" s="34"/>
      <c r="C257" s="35"/>
      <c r="D257" s="34"/>
      <c r="F257" s="40"/>
      <c r="G257" s="40"/>
      <c r="H257" s="40"/>
    </row>
    <row r="258" spans="2:8" x14ac:dyDescent="0.25">
      <c r="B258" s="34"/>
      <c r="C258" s="35"/>
      <c r="D258" s="34"/>
      <c r="F258" s="40"/>
      <c r="G258" s="40"/>
      <c r="H258" s="40"/>
    </row>
    <row r="259" spans="2:8" x14ac:dyDescent="0.25">
      <c r="B259" s="34"/>
      <c r="C259" s="35"/>
      <c r="D259" s="34"/>
      <c r="F259" s="40"/>
      <c r="G259" s="40"/>
      <c r="H259" s="40"/>
    </row>
    <row r="260" spans="2:8" x14ac:dyDescent="0.25">
      <c r="B260" s="34"/>
      <c r="C260" s="35"/>
      <c r="D260" s="34"/>
      <c r="F260" s="40"/>
      <c r="G260" s="40"/>
      <c r="H260" s="40"/>
    </row>
    <row r="261" spans="2:8" x14ac:dyDescent="0.25">
      <c r="B261" s="34"/>
      <c r="C261" s="35"/>
      <c r="D261" s="34"/>
      <c r="F261" s="40"/>
      <c r="G261" s="40"/>
      <c r="H261" s="40"/>
    </row>
    <row r="262" spans="2:8" x14ac:dyDescent="0.25">
      <c r="B262" s="34"/>
      <c r="C262" s="35"/>
      <c r="D262" s="34"/>
      <c r="F262" s="40"/>
      <c r="G262" s="40"/>
      <c r="H262" s="40"/>
    </row>
    <row r="263" spans="2:8" x14ac:dyDescent="0.25">
      <c r="B263" s="34"/>
      <c r="C263" s="35"/>
      <c r="D263" s="34"/>
      <c r="F263" s="40"/>
      <c r="G263" s="40"/>
      <c r="H263" s="40"/>
    </row>
    <row r="264" spans="2:8" x14ac:dyDescent="0.25">
      <c r="B264" s="34"/>
      <c r="C264" s="35"/>
      <c r="D264" s="34"/>
      <c r="F264" s="40"/>
      <c r="G264" s="40"/>
      <c r="H264" s="40"/>
    </row>
    <row r="265" spans="2:8" x14ac:dyDescent="0.25">
      <c r="B265" s="34"/>
      <c r="C265" s="35"/>
      <c r="D265" s="34"/>
      <c r="F265" s="40"/>
      <c r="G265" s="40"/>
      <c r="H265" s="40"/>
    </row>
    <row r="266" spans="2:8" x14ac:dyDescent="0.25">
      <c r="B266" s="34"/>
      <c r="C266" s="35"/>
      <c r="D266" s="34"/>
      <c r="F266" s="40"/>
      <c r="G266" s="40"/>
      <c r="H266" s="40"/>
    </row>
    <row r="267" spans="2:8" x14ac:dyDescent="0.25">
      <c r="B267" s="34"/>
      <c r="C267" s="35"/>
      <c r="D267" s="34"/>
      <c r="F267" s="40"/>
      <c r="G267" s="40"/>
      <c r="H267" s="40"/>
    </row>
    <row r="268" spans="2:8" x14ac:dyDescent="0.25">
      <c r="B268" s="34"/>
      <c r="C268" s="35"/>
      <c r="D268" s="34"/>
      <c r="F268" s="40"/>
      <c r="G268" s="40"/>
      <c r="H268" s="40"/>
    </row>
    <row r="269" spans="2:8" x14ac:dyDescent="0.25">
      <c r="B269" s="34"/>
      <c r="C269" s="35"/>
      <c r="D269" s="34"/>
      <c r="F269" s="40"/>
      <c r="G269" s="40"/>
      <c r="H269" s="40"/>
    </row>
    <row r="270" spans="2:8" x14ac:dyDescent="0.25">
      <c r="B270" s="34"/>
      <c r="C270" s="35"/>
      <c r="D270" s="34"/>
      <c r="F270" s="40"/>
      <c r="G270" s="40"/>
      <c r="H270" s="40"/>
    </row>
    <row r="271" spans="2:8" x14ac:dyDescent="0.25">
      <c r="B271" s="34"/>
      <c r="C271" s="35"/>
      <c r="D271" s="34"/>
      <c r="F271" s="40"/>
      <c r="G271" s="40"/>
      <c r="H271" s="40"/>
    </row>
    <row r="272" spans="2:8" x14ac:dyDescent="0.25">
      <c r="B272" s="34"/>
      <c r="C272" s="35"/>
      <c r="D272" s="34"/>
      <c r="F272" s="40"/>
      <c r="G272" s="40"/>
      <c r="H272" s="40"/>
    </row>
    <row r="273" spans="2:8" x14ac:dyDescent="0.25">
      <c r="B273" s="34"/>
      <c r="C273" s="35"/>
      <c r="D273" s="34"/>
      <c r="F273" s="40"/>
      <c r="G273" s="40"/>
      <c r="H273" s="40"/>
    </row>
    <row r="274" spans="2:8" x14ac:dyDescent="0.25">
      <c r="B274" s="34"/>
      <c r="C274" s="35"/>
      <c r="D274" s="34"/>
      <c r="F274" s="40"/>
      <c r="G274" s="40"/>
      <c r="H274" s="40"/>
    </row>
    <row r="275" spans="2:8" x14ac:dyDescent="0.25">
      <c r="B275" s="34"/>
      <c r="C275" s="35"/>
      <c r="D275" s="34"/>
      <c r="F275" s="40"/>
      <c r="G275" s="40"/>
      <c r="H275" s="40"/>
    </row>
    <row r="276" spans="2:8" x14ac:dyDescent="0.25">
      <c r="B276" s="34"/>
      <c r="C276" s="35"/>
      <c r="D276" s="34"/>
      <c r="F276" s="40"/>
      <c r="G276" s="40"/>
      <c r="H276" s="40"/>
    </row>
    <row r="277" spans="2:8" x14ac:dyDescent="0.25">
      <c r="B277" s="34"/>
      <c r="C277" s="35"/>
      <c r="D277" s="34"/>
      <c r="F277" s="40"/>
      <c r="G277" s="40"/>
      <c r="H277" s="40"/>
    </row>
    <row r="278" spans="2:8" x14ac:dyDescent="0.25">
      <c r="B278" s="34"/>
      <c r="C278" s="35"/>
      <c r="D278" s="34"/>
      <c r="F278" s="40"/>
      <c r="G278" s="40"/>
      <c r="H278" s="40"/>
    </row>
    <row r="279" spans="2:8" x14ac:dyDescent="0.25">
      <c r="B279" s="34"/>
      <c r="C279" s="35"/>
      <c r="D279" s="34"/>
      <c r="F279" s="40"/>
      <c r="G279" s="40"/>
      <c r="H279" s="40"/>
    </row>
    <row r="280" spans="2:8" x14ac:dyDescent="0.25">
      <c r="B280" s="34"/>
      <c r="C280" s="35"/>
      <c r="D280" s="34"/>
      <c r="F280" s="40"/>
      <c r="G280" s="40"/>
      <c r="H280" s="40"/>
    </row>
    <row r="281" spans="2:8" x14ac:dyDescent="0.25">
      <c r="B281" s="34"/>
      <c r="C281" s="35"/>
      <c r="D281" s="34"/>
      <c r="F281" s="40"/>
      <c r="G281" s="40"/>
      <c r="H281" s="40"/>
    </row>
    <row r="282" spans="2:8" x14ac:dyDescent="0.25">
      <c r="B282" s="34"/>
      <c r="C282" s="35"/>
      <c r="D282" s="34"/>
      <c r="F282" s="40"/>
      <c r="G282" s="40"/>
      <c r="H282" s="40"/>
    </row>
    <row r="283" spans="2:8" x14ac:dyDescent="0.25">
      <c r="B283" s="34"/>
      <c r="C283" s="35"/>
      <c r="D283" s="34"/>
      <c r="F283" s="40"/>
      <c r="G283" s="40"/>
      <c r="H283" s="40"/>
    </row>
    <row r="284" spans="2:8" x14ac:dyDescent="0.25">
      <c r="B284" s="34"/>
      <c r="C284" s="35"/>
      <c r="D284" s="34"/>
    </row>
    <row r="285" spans="2:8" x14ac:dyDescent="0.25">
      <c r="B285" s="34"/>
      <c r="C285" s="35"/>
      <c r="D285" s="34"/>
    </row>
    <row r="286" spans="2:8" x14ac:dyDescent="0.25">
      <c r="B286" s="34"/>
      <c r="C286" s="35"/>
      <c r="D286" s="34"/>
    </row>
    <row r="287" spans="2:8" x14ac:dyDescent="0.25">
      <c r="B287" s="34"/>
      <c r="C287" s="35"/>
      <c r="D287" s="34"/>
    </row>
    <row r="288" spans="2:8" x14ac:dyDescent="0.25">
      <c r="B288" s="34"/>
      <c r="C288" s="35"/>
      <c r="D288" s="34"/>
    </row>
    <row r="289" spans="2:4" x14ac:dyDescent="0.25">
      <c r="B289" s="34"/>
      <c r="C289" s="35"/>
      <c r="D289" s="34"/>
    </row>
    <row r="290" spans="2:4" x14ac:dyDescent="0.25">
      <c r="B290" s="34"/>
      <c r="C290" s="35"/>
      <c r="D290" s="34"/>
    </row>
    <row r="291" spans="2:4" x14ac:dyDescent="0.25">
      <c r="B291" s="34"/>
      <c r="C291" s="35"/>
      <c r="D291" s="34"/>
    </row>
    <row r="292" spans="2:4" x14ac:dyDescent="0.25">
      <c r="B292" s="34"/>
      <c r="C292" s="35"/>
      <c r="D292" s="34"/>
    </row>
    <row r="293" spans="2:4" x14ac:dyDescent="0.25">
      <c r="B293" s="34"/>
      <c r="C293" s="35"/>
      <c r="D293" s="34"/>
    </row>
    <row r="294" spans="2:4" x14ac:dyDescent="0.25">
      <c r="B294" s="34"/>
      <c r="C294" s="35"/>
      <c r="D294" s="34"/>
    </row>
    <row r="295" spans="2:4" x14ac:dyDescent="0.25">
      <c r="B295" s="34"/>
      <c r="C295" s="35"/>
      <c r="D295" s="34"/>
    </row>
    <row r="296" spans="2:4" x14ac:dyDescent="0.25">
      <c r="B296" s="34"/>
      <c r="C296" s="35"/>
      <c r="D296" s="34"/>
    </row>
    <row r="297" spans="2:4" x14ac:dyDescent="0.25">
      <c r="B297" s="34"/>
      <c r="C297" s="35"/>
      <c r="D297" s="34"/>
    </row>
    <row r="298" spans="2:4" x14ac:dyDescent="0.25">
      <c r="B298" s="34"/>
      <c r="C298" s="35"/>
      <c r="D298" s="34"/>
    </row>
    <row r="299" spans="2:4" x14ac:dyDescent="0.25">
      <c r="B299" s="34"/>
      <c r="C299" s="35"/>
      <c r="D299" s="34"/>
    </row>
    <row r="300" spans="2:4" x14ac:dyDescent="0.25">
      <c r="B300" s="34"/>
      <c r="C300" s="35"/>
      <c r="D300" s="34"/>
    </row>
    <row r="301" spans="2:4" x14ac:dyDescent="0.25">
      <c r="B301" s="34"/>
      <c r="C301" s="35"/>
      <c r="D301" s="34"/>
    </row>
    <row r="302" spans="2:4" x14ac:dyDescent="0.25">
      <c r="B302" s="34"/>
      <c r="C302" s="35"/>
      <c r="D302" s="34"/>
    </row>
    <row r="303" spans="2:4" x14ac:dyDescent="0.25">
      <c r="B303" s="34"/>
      <c r="C303" s="35"/>
      <c r="D303" s="34"/>
    </row>
    <row r="304" spans="2:4" x14ac:dyDescent="0.25">
      <c r="B304" s="34"/>
      <c r="C304" s="35"/>
      <c r="D304" s="34"/>
    </row>
    <row r="305" spans="2:4" x14ac:dyDescent="0.25">
      <c r="B305" s="34"/>
      <c r="C305" s="35"/>
      <c r="D305" s="34"/>
    </row>
    <row r="306" spans="2:4" x14ac:dyDescent="0.25">
      <c r="B306" s="34"/>
      <c r="C306" s="35"/>
      <c r="D306" s="34"/>
    </row>
    <row r="307" spans="2:4" x14ac:dyDescent="0.25">
      <c r="B307" s="34"/>
      <c r="C307" s="35"/>
      <c r="D307" s="34"/>
    </row>
    <row r="308" spans="2:4" x14ac:dyDescent="0.25">
      <c r="B308" s="34"/>
      <c r="C308" s="35"/>
      <c r="D308" s="34"/>
    </row>
    <row r="309" spans="2:4" x14ac:dyDescent="0.25">
      <c r="B309" s="34"/>
      <c r="C309" s="35"/>
      <c r="D309" s="34"/>
    </row>
    <row r="310" spans="2:4" x14ac:dyDescent="0.25">
      <c r="B310" s="34"/>
      <c r="C310" s="35"/>
      <c r="D310" s="34"/>
    </row>
    <row r="311" spans="2:4" x14ac:dyDescent="0.25">
      <c r="B311" s="34"/>
      <c r="C311" s="35"/>
      <c r="D311" s="34"/>
    </row>
    <row r="312" spans="2:4" x14ac:dyDescent="0.25">
      <c r="B312" s="34"/>
      <c r="C312" s="35"/>
      <c r="D312" s="34"/>
    </row>
    <row r="313" spans="2:4" x14ac:dyDescent="0.25">
      <c r="B313" s="34"/>
      <c r="C313" s="35"/>
      <c r="D313" s="34"/>
    </row>
    <row r="314" spans="2:4" x14ac:dyDescent="0.25">
      <c r="B314" s="34"/>
      <c r="C314" s="35"/>
      <c r="D314" s="34"/>
    </row>
    <row r="315" spans="2:4" x14ac:dyDescent="0.25">
      <c r="B315" s="34"/>
      <c r="C315" s="35"/>
      <c r="D315" s="34"/>
    </row>
    <row r="316" spans="2:4" x14ac:dyDescent="0.25">
      <c r="B316" s="34"/>
      <c r="C316" s="35"/>
      <c r="D316" s="34"/>
    </row>
    <row r="317" spans="2:4" x14ac:dyDescent="0.25">
      <c r="B317" s="34"/>
      <c r="C317" s="35"/>
      <c r="D317" s="34"/>
    </row>
    <row r="318" spans="2:4" x14ac:dyDescent="0.25">
      <c r="B318" s="34"/>
      <c r="C318" s="35"/>
      <c r="D318" s="34"/>
    </row>
    <row r="319" spans="2:4" x14ac:dyDescent="0.25">
      <c r="B319" s="34"/>
      <c r="C319" s="35"/>
      <c r="D319" s="34"/>
    </row>
    <row r="320" spans="2:4" x14ac:dyDescent="0.25">
      <c r="B320" s="34"/>
      <c r="C320" s="35"/>
      <c r="D320" s="34"/>
    </row>
    <row r="321" spans="2:4" x14ac:dyDescent="0.25">
      <c r="B321" s="34"/>
      <c r="C321" s="35"/>
      <c r="D321" s="34"/>
    </row>
    <row r="322" spans="2:4" x14ac:dyDescent="0.25">
      <c r="B322" s="34"/>
      <c r="C322" s="35"/>
      <c r="D322" s="34"/>
    </row>
    <row r="323" spans="2:4" x14ac:dyDescent="0.25">
      <c r="B323" s="34"/>
      <c r="C323" s="35"/>
      <c r="D323" s="34"/>
    </row>
    <row r="324" spans="2:4" x14ac:dyDescent="0.25">
      <c r="B324" s="34"/>
      <c r="C324" s="35"/>
      <c r="D324" s="34"/>
    </row>
    <row r="325" spans="2:4" x14ac:dyDescent="0.25">
      <c r="B325" s="34"/>
      <c r="C325" s="35"/>
      <c r="D325" s="34"/>
    </row>
    <row r="326" spans="2:4" x14ac:dyDescent="0.25">
      <c r="B326" s="34"/>
      <c r="C326" s="35"/>
      <c r="D326" s="34"/>
    </row>
    <row r="327" spans="2:4" x14ac:dyDescent="0.25">
      <c r="B327" s="34"/>
      <c r="C327" s="35"/>
      <c r="D327" s="34"/>
    </row>
    <row r="328" spans="2:4" x14ac:dyDescent="0.25">
      <c r="B328" s="34"/>
      <c r="C328" s="35"/>
      <c r="D328" s="34"/>
    </row>
    <row r="329" spans="2:4" x14ac:dyDescent="0.25">
      <c r="B329" s="34"/>
      <c r="C329" s="35"/>
      <c r="D329" s="34"/>
    </row>
    <row r="330" spans="2:4" x14ac:dyDescent="0.25">
      <c r="B330" s="34"/>
      <c r="C330" s="35"/>
      <c r="D330" s="34"/>
    </row>
    <row r="331" spans="2:4" x14ac:dyDescent="0.25">
      <c r="B331" s="34"/>
      <c r="C331" s="35"/>
      <c r="D331" s="34"/>
    </row>
    <row r="332" spans="2:4" x14ac:dyDescent="0.25">
      <c r="B332" s="34"/>
      <c r="C332" s="35"/>
      <c r="D332" s="34"/>
    </row>
    <row r="333" spans="2:4" x14ac:dyDescent="0.25">
      <c r="B333" s="34"/>
      <c r="C333" s="35"/>
      <c r="D333" s="34"/>
    </row>
    <row r="334" spans="2:4" x14ac:dyDescent="0.25">
      <c r="B334" s="34"/>
      <c r="C334" s="35"/>
      <c r="D334" s="34"/>
    </row>
    <row r="335" spans="2:4" x14ac:dyDescent="0.25">
      <c r="B335" s="34"/>
      <c r="C335" s="35"/>
      <c r="D335" s="34"/>
    </row>
    <row r="336" spans="2:4" x14ac:dyDescent="0.25">
      <c r="B336" s="34"/>
      <c r="C336" s="35"/>
      <c r="D336" s="34"/>
    </row>
    <row r="337" spans="2:4" x14ac:dyDescent="0.25">
      <c r="B337" s="34"/>
      <c r="C337" s="35"/>
      <c r="D337" s="34"/>
    </row>
    <row r="338" spans="2:4" x14ac:dyDescent="0.25">
      <c r="B338" s="34"/>
      <c r="C338" s="35"/>
      <c r="D338" s="34"/>
    </row>
    <row r="339" spans="2:4" x14ac:dyDescent="0.25">
      <c r="B339" s="34"/>
      <c r="C339" s="35"/>
      <c r="D339" s="34"/>
    </row>
    <row r="340" spans="2:4" x14ac:dyDescent="0.25">
      <c r="B340" s="34"/>
      <c r="C340" s="35"/>
      <c r="D340" s="34"/>
    </row>
    <row r="341" spans="2:4" x14ac:dyDescent="0.25">
      <c r="B341" s="34"/>
      <c r="C341" s="35"/>
      <c r="D341" s="34"/>
    </row>
    <row r="342" spans="2:4" x14ac:dyDescent="0.25">
      <c r="B342" s="34"/>
      <c r="C342" s="35"/>
      <c r="D342" s="34"/>
    </row>
    <row r="343" spans="2:4" x14ac:dyDescent="0.25">
      <c r="B343" s="34"/>
      <c r="C343" s="35"/>
      <c r="D343" s="34"/>
    </row>
    <row r="344" spans="2:4" x14ac:dyDescent="0.25">
      <c r="B344" s="34"/>
      <c r="C344" s="35"/>
      <c r="D344" s="34"/>
    </row>
    <row r="345" spans="2:4" x14ac:dyDescent="0.25">
      <c r="B345" s="34"/>
      <c r="C345" s="35"/>
      <c r="D345" s="34"/>
    </row>
    <row r="346" spans="2:4" x14ac:dyDescent="0.25">
      <c r="B346" s="34"/>
      <c r="C346" s="35"/>
      <c r="D346" s="34"/>
    </row>
    <row r="347" spans="2:4" x14ac:dyDescent="0.25">
      <c r="B347" s="34"/>
      <c r="C347" s="35"/>
      <c r="D347" s="34"/>
    </row>
    <row r="348" spans="2:4" x14ac:dyDescent="0.25">
      <c r="B348" s="34"/>
      <c r="C348" s="35"/>
      <c r="D348" s="34"/>
    </row>
    <row r="349" spans="2:4" x14ac:dyDescent="0.25">
      <c r="B349" s="34"/>
      <c r="C349" s="35"/>
      <c r="D349" s="34"/>
    </row>
    <row r="350" spans="2:4" x14ac:dyDescent="0.25">
      <c r="B350" s="34"/>
      <c r="C350" s="35"/>
      <c r="D350" s="34"/>
    </row>
    <row r="351" spans="2:4" x14ac:dyDescent="0.25">
      <c r="B351" s="34"/>
      <c r="C351" s="35"/>
      <c r="D351" s="34"/>
    </row>
    <row r="352" spans="2:4" x14ac:dyDescent="0.25">
      <c r="B352" s="34"/>
      <c r="C352" s="35"/>
      <c r="D352" s="34"/>
    </row>
    <row r="353" spans="2:4" x14ac:dyDescent="0.25">
      <c r="B353" s="34"/>
      <c r="C353" s="35"/>
      <c r="D353" s="34"/>
    </row>
    <row r="354" spans="2:4" x14ac:dyDescent="0.25">
      <c r="B354" s="34"/>
      <c r="C354" s="35"/>
      <c r="D354" s="34"/>
    </row>
    <row r="355" spans="2:4" x14ac:dyDescent="0.25">
      <c r="B355" s="34"/>
      <c r="C355" s="35"/>
      <c r="D355" s="34"/>
    </row>
    <row r="356" spans="2:4" x14ac:dyDescent="0.25">
      <c r="B356" s="34"/>
      <c r="C356" s="35"/>
      <c r="D356" s="34"/>
    </row>
    <row r="357" spans="2:4" x14ac:dyDescent="0.25">
      <c r="B357" s="34"/>
      <c r="C357" s="35"/>
      <c r="D357" s="34"/>
    </row>
    <row r="358" spans="2:4" x14ac:dyDescent="0.25">
      <c r="B358" s="34"/>
      <c r="C358" s="35"/>
      <c r="D358" s="34"/>
    </row>
    <row r="359" spans="2:4" x14ac:dyDescent="0.25">
      <c r="B359" s="34"/>
      <c r="C359" s="35"/>
      <c r="D359" s="34"/>
    </row>
    <row r="360" spans="2:4" x14ac:dyDescent="0.25">
      <c r="B360" s="34"/>
      <c r="C360" s="35"/>
      <c r="D360" s="34"/>
    </row>
    <row r="361" spans="2:4" x14ac:dyDescent="0.25">
      <c r="B361" s="34"/>
      <c r="C361" s="35"/>
      <c r="D361" s="34"/>
    </row>
    <row r="362" spans="2:4" x14ac:dyDescent="0.25">
      <c r="B362" s="34"/>
      <c r="C362" s="35"/>
      <c r="D362" s="34"/>
    </row>
    <row r="363" spans="2:4" x14ac:dyDescent="0.25">
      <c r="B363" s="34"/>
      <c r="C363" s="35"/>
      <c r="D363" s="34"/>
    </row>
    <row r="364" spans="2:4" x14ac:dyDescent="0.25">
      <c r="B364" s="34"/>
      <c r="C364" s="35"/>
      <c r="D364" s="34"/>
    </row>
    <row r="365" spans="2:4" x14ac:dyDescent="0.25">
      <c r="B365" s="34"/>
      <c r="C365" s="35"/>
      <c r="D365" s="34"/>
    </row>
    <row r="366" spans="2:4" x14ac:dyDescent="0.25">
      <c r="B366" s="34"/>
      <c r="C366" s="35"/>
      <c r="D366" s="34"/>
    </row>
    <row r="367" spans="2:4" x14ac:dyDescent="0.25">
      <c r="B367" s="34"/>
      <c r="C367" s="35"/>
      <c r="D367" s="34"/>
    </row>
    <row r="368" spans="2:4" x14ac:dyDescent="0.25">
      <c r="B368" s="34"/>
      <c r="C368" s="35"/>
      <c r="D368" s="34"/>
    </row>
    <row r="369" spans="2:4" x14ac:dyDescent="0.25">
      <c r="B369" s="34"/>
      <c r="C369" s="35"/>
      <c r="D369" s="34"/>
    </row>
    <row r="370" spans="2:4" x14ac:dyDescent="0.25">
      <c r="B370" s="34"/>
      <c r="C370" s="35"/>
      <c r="D370" s="34"/>
    </row>
    <row r="371" spans="2:4" x14ac:dyDescent="0.25">
      <c r="B371" s="34"/>
      <c r="C371" s="35"/>
      <c r="D371" s="34"/>
    </row>
    <row r="372" spans="2:4" x14ac:dyDescent="0.25">
      <c r="B372" s="34"/>
      <c r="C372" s="35"/>
      <c r="D372" s="34"/>
    </row>
    <row r="373" spans="2:4" x14ac:dyDescent="0.25">
      <c r="B373" s="34"/>
      <c r="C373" s="35"/>
      <c r="D373" s="34"/>
    </row>
    <row r="374" spans="2:4" x14ac:dyDescent="0.25">
      <c r="B374" s="34"/>
      <c r="C374" s="35"/>
      <c r="D374" s="34"/>
    </row>
    <row r="375" spans="2:4" x14ac:dyDescent="0.25">
      <c r="B375" s="34"/>
      <c r="C375" s="35"/>
      <c r="D375" s="34"/>
    </row>
    <row r="376" spans="2:4" x14ac:dyDescent="0.25">
      <c r="B376" s="34"/>
      <c r="C376" s="35"/>
      <c r="D376" s="34"/>
    </row>
    <row r="377" spans="2:4" x14ac:dyDescent="0.25">
      <c r="B377" s="34"/>
      <c r="C377" s="35"/>
      <c r="D377" s="34"/>
    </row>
    <row r="378" spans="2:4" x14ac:dyDescent="0.25">
      <c r="B378" s="34"/>
      <c r="C378" s="35"/>
      <c r="D378" s="34"/>
    </row>
    <row r="379" spans="2:4" x14ac:dyDescent="0.25">
      <c r="B379" s="34"/>
      <c r="C379" s="35"/>
      <c r="D379" s="34"/>
    </row>
    <row r="380" spans="2:4" x14ac:dyDescent="0.25">
      <c r="B380" s="34"/>
      <c r="C380" s="35"/>
      <c r="D380" s="34"/>
    </row>
    <row r="381" spans="2:4" x14ac:dyDescent="0.25">
      <c r="B381" s="34"/>
      <c r="C381" s="35"/>
      <c r="D381" s="34"/>
    </row>
    <row r="382" spans="2:4" x14ac:dyDescent="0.25">
      <c r="B382" s="34"/>
      <c r="C382" s="35"/>
      <c r="D382" s="34"/>
    </row>
    <row r="383" spans="2:4" x14ac:dyDescent="0.25">
      <c r="B383" s="34"/>
      <c r="C383" s="35"/>
      <c r="D383" s="34"/>
    </row>
    <row r="384" spans="2:4" x14ac:dyDescent="0.25">
      <c r="B384" s="34"/>
      <c r="C384" s="35"/>
      <c r="D384" s="34"/>
    </row>
    <row r="385" spans="2:4" x14ac:dyDescent="0.25">
      <c r="B385" s="34"/>
      <c r="C385" s="35"/>
      <c r="D385" s="34"/>
    </row>
    <row r="386" spans="2:4" x14ac:dyDescent="0.25">
      <c r="B386" s="34"/>
      <c r="C386" s="35"/>
      <c r="D386" s="34"/>
    </row>
    <row r="387" spans="2:4" x14ac:dyDescent="0.25">
      <c r="B387" s="34"/>
      <c r="C387" s="35"/>
      <c r="D387" s="34"/>
    </row>
    <row r="388" spans="2:4" x14ac:dyDescent="0.25">
      <c r="B388" s="34"/>
      <c r="C388" s="35"/>
      <c r="D388" s="34"/>
    </row>
    <row r="389" spans="2:4" x14ac:dyDescent="0.25">
      <c r="B389" s="34"/>
      <c r="C389" s="35"/>
      <c r="D389" s="34"/>
    </row>
    <row r="390" spans="2:4" x14ac:dyDescent="0.25">
      <c r="B390" s="34"/>
      <c r="C390" s="35"/>
      <c r="D390" s="34"/>
    </row>
    <row r="391" spans="2:4" x14ac:dyDescent="0.25">
      <c r="B391" s="34"/>
      <c r="C391" s="35"/>
      <c r="D391" s="34"/>
    </row>
    <row r="392" spans="2:4" x14ac:dyDescent="0.25">
      <c r="B392" s="34"/>
      <c r="C392" s="35"/>
      <c r="D392" s="34"/>
    </row>
    <row r="393" spans="2:4" x14ac:dyDescent="0.25">
      <c r="B393" s="34"/>
      <c r="C393" s="35"/>
      <c r="D393" s="34"/>
    </row>
    <row r="394" spans="2:4" x14ac:dyDescent="0.25">
      <c r="B394" s="34"/>
      <c r="C394" s="35"/>
      <c r="D394" s="34"/>
    </row>
    <row r="395" spans="2:4" x14ac:dyDescent="0.25">
      <c r="B395" s="34"/>
      <c r="C395" s="35"/>
      <c r="D395" s="34"/>
    </row>
    <row r="396" spans="2:4" x14ac:dyDescent="0.25">
      <c r="B396" s="34"/>
      <c r="C396" s="35"/>
      <c r="D396" s="34"/>
    </row>
    <row r="397" spans="2:4" x14ac:dyDescent="0.25">
      <c r="B397" s="34"/>
      <c r="C397" s="35"/>
      <c r="D397" s="34"/>
    </row>
    <row r="398" spans="2:4" x14ac:dyDescent="0.25">
      <c r="B398" s="34"/>
      <c r="C398" s="35"/>
      <c r="D398" s="34"/>
    </row>
    <row r="399" spans="2:4" x14ac:dyDescent="0.25">
      <c r="B399" s="34"/>
      <c r="C399" s="35"/>
      <c r="D399" s="34"/>
    </row>
    <row r="400" spans="2:4" x14ac:dyDescent="0.25">
      <c r="B400" s="34"/>
      <c r="C400" s="35"/>
      <c r="D400" s="34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  <row r="509" spans="3:3" x14ac:dyDescent="0.25">
      <c r="C509" s="33"/>
    </row>
    <row r="510" spans="3:3" x14ac:dyDescent="0.25">
      <c r="C510" s="33"/>
    </row>
    <row r="511" spans="3:3" x14ac:dyDescent="0.25">
      <c r="C511" s="33"/>
    </row>
    <row r="512" spans="3:3" x14ac:dyDescent="0.25">
      <c r="C512" s="33"/>
    </row>
    <row r="513" spans="3:3" x14ac:dyDescent="0.25">
      <c r="C513" s="33"/>
    </row>
    <row r="514" spans="3:3" x14ac:dyDescent="0.25">
      <c r="C514" s="33"/>
    </row>
    <row r="515" spans="3:3" x14ac:dyDescent="0.25">
      <c r="C515" s="33"/>
    </row>
    <row r="516" spans="3:3" x14ac:dyDescent="0.25">
      <c r="C516" s="33"/>
    </row>
    <row r="517" spans="3:3" x14ac:dyDescent="0.25">
      <c r="C517" s="33"/>
    </row>
    <row r="518" spans="3:3" x14ac:dyDescent="0.25">
      <c r="C518" s="33"/>
    </row>
    <row r="519" spans="3:3" x14ac:dyDescent="0.25">
      <c r="C519" s="33"/>
    </row>
    <row r="520" spans="3:3" x14ac:dyDescent="0.25">
      <c r="C520" s="33"/>
    </row>
    <row r="521" spans="3:3" x14ac:dyDescent="0.25">
      <c r="C521" s="33"/>
    </row>
    <row r="522" spans="3:3" x14ac:dyDescent="0.25">
      <c r="C522" s="33"/>
    </row>
    <row r="523" spans="3:3" x14ac:dyDescent="0.25">
      <c r="C523" s="33"/>
    </row>
    <row r="524" spans="3:3" x14ac:dyDescent="0.25">
      <c r="C524" s="33"/>
    </row>
    <row r="525" spans="3:3" x14ac:dyDescent="0.25">
      <c r="C525" s="33"/>
    </row>
    <row r="526" spans="3:3" x14ac:dyDescent="0.25">
      <c r="C526" s="33"/>
    </row>
    <row r="527" spans="3:3" x14ac:dyDescent="0.25">
      <c r="C527" s="33"/>
    </row>
    <row r="528" spans="3:3" x14ac:dyDescent="0.25">
      <c r="C528" s="33"/>
    </row>
    <row r="529" spans="3:3" x14ac:dyDescent="0.25">
      <c r="C529" s="33"/>
    </row>
    <row r="530" spans="3:3" x14ac:dyDescent="0.25">
      <c r="C530" s="33"/>
    </row>
    <row r="531" spans="3:3" x14ac:dyDescent="0.25">
      <c r="C531" s="33"/>
    </row>
    <row r="532" spans="3:3" x14ac:dyDescent="0.25">
      <c r="C532" s="33"/>
    </row>
    <row r="533" spans="3:3" x14ac:dyDescent="0.25">
      <c r="C533" s="33"/>
    </row>
    <row r="534" spans="3:3" x14ac:dyDescent="0.25">
      <c r="C534" s="33"/>
    </row>
    <row r="535" spans="3:3" x14ac:dyDescent="0.25">
      <c r="C535" s="33"/>
    </row>
    <row r="536" spans="3:3" x14ac:dyDescent="0.25">
      <c r="C536" s="33"/>
    </row>
    <row r="537" spans="3:3" x14ac:dyDescent="0.25">
      <c r="C537" s="33"/>
    </row>
    <row r="538" spans="3:3" x14ac:dyDescent="0.25">
      <c r="C538" s="33"/>
    </row>
    <row r="539" spans="3:3" x14ac:dyDescent="0.25">
      <c r="C539" s="33"/>
    </row>
    <row r="540" spans="3:3" x14ac:dyDescent="0.25">
      <c r="C540" s="33"/>
    </row>
    <row r="541" spans="3:3" x14ac:dyDescent="0.25">
      <c r="C541" s="33"/>
    </row>
    <row r="542" spans="3:3" x14ac:dyDescent="0.25">
      <c r="C542" s="33"/>
    </row>
    <row r="543" spans="3:3" x14ac:dyDescent="0.25">
      <c r="C543" s="33"/>
    </row>
    <row r="544" spans="3:3" x14ac:dyDescent="0.25">
      <c r="C544" s="33"/>
    </row>
    <row r="545" spans="3:3" x14ac:dyDescent="0.25">
      <c r="C545" s="33"/>
    </row>
    <row r="546" spans="3:3" x14ac:dyDescent="0.25">
      <c r="C546" s="33"/>
    </row>
    <row r="547" spans="3:3" x14ac:dyDescent="0.25">
      <c r="C547" s="33"/>
    </row>
    <row r="548" spans="3:3" x14ac:dyDescent="0.25">
      <c r="C548" s="33"/>
    </row>
    <row r="549" spans="3:3" x14ac:dyDescent="0.25">
      <c r="C549" s="33"/>
    </row>
    <row r="550" spans="3:3" x14ac:dyDescent="0.25">
      <c r="C550" s="33"/>
    </row>
    <row r="551" spans="3:3" x14ac:dyDescent="0.25">
      <c r="C551" s="33"/>
    </row>
    <row r="552" spans="3:3" x14ac:dyDescent="0.25">
      <c r="C552" s="33"/>
    </row>
    <row r="553" spans="3:3" x14ac:dyDescent="0.25">
      <c r="C553" s="33"/>
    </row>
    <row r="554" spans="3:3" x14ac:dyDescent="0.25">
      <c r="C554" s="33"/>
    </row>
    <row r="555" spans="3:3" x14ac:dyDescent="0.25">
      <c r="C555" s="33"/>
    </row>
    <row r="556" spans="3:3" x14ac:dyDescent="0.25">
      <c r="C556" s="33"/>
    </row>
    <row r="557" spans="3:3" x14ac:dyDescent="0.25">
      <c r="C557" s="33"/>
    </row>
    <row r="558" spans="3:3" x14ac:dyDescent="0.25">
      <c r="C558" s="33"/>
    </row>
    <row r="559" spans="3:3" x14ac:dyDescent="0.25">
      <c r="C559" s="33"/>
    </row>
    <row r="560" spans="3:3" x14ac:dyDescent="0.25">
      <c r="C560" s="33"/>
    </row>
    <row r="561" spans="3:3" x14ac:dyDescent="0.25">
      <c r="C561" s="33"/>
    </row>
    <row r="562" spans="3:3" x14ac:dyDescent="0.25">
      <c r="C562" s="33"/>
    </row>
    <row r="563" spans="3:3" x14ac:dyDescent="0.25">
      <c r="C563" s="33"/>
    </row>
    <row r="564" spans="3:3" x14ac:dyDescent="0.25">
      <c r="C564" s="33"/>
    </row>
    <row r="565" spans="3:3" x14ac:dyDescent="0.25">
      <c r="C565" s="33"/>
    </row>
    <row r="566" spans="3:3" x14ac:dyDescent="0.25">
      <c r="C566" s="33"/>
    </row>
    <row r="567" spans="3:3" x14ac:dyDescent="0.25">
      <c r="C567" s="33"/>
    </row>
    <row r="568" spans="3:3" x14ac:dyDescent="0.25">
      <c r="C568" s="33"/>
    </row>
    <row r="569" spans="3:3" x14ac:dyDescent="0.25">
      <c r="C569" s="33"/>
    </row>
    <row r="570" spans="3:3" x14ac:dyDescent="0.25">
      <c r="C570" s="33"/>
    </row>
    <row r="571" spans="3:3" x14ac:dyDescent="0.25">
      <c r="C571" s="33"/>
    </row>
    <row r="572" spans="3:3" x14ac:dyDescent="0.25">
      <c r="C572" s="33"/>
    </row>
    <row r="573" spans="3:3" x14ac:dyDescent="0.25">
      <c r="C573" s="33"/>
    </row>
    <row r="574" spans="3:3" x14ac:dyDescent="0.25">
      <c r="C574" s="33"/>
    </row>
    <row r="575" spans="3:3" x14ac:dyDescent="0.25">
      <c r="C575" s="33"/>
    </row>
    <row r="576" spans="3:3" x14ac:dyDescent="0.25">
      <c r="C576" s="33"/>
    </row>
    <row r="577" spans="3:3" x14ac:dyDescent="0.25">
      <c r="C577" s="33"/>
    </row>
    <row r="578" spans="3:3" x14ac:dyDescent="0.25">
      <c r="C578" s="33"/>
    </row>
    <row r="579" spans="3:3" x14ac:dyDescent="0.25">
      <c r="C579" s="33"/>
    </row>
    <row r="580" spans="3:3" x14ac:dyDescent="0.25">
      <c r="C580" s="33"/>
    </row>
    <row r="581" spans="3:3" x14ac:dyDescent="0.25">
      <c r="C581" s="33"/>
    </row>
    <row r="582" spans="3:3" x14ac:dyDescent="0.25">
      <c r="C582" s="33"/>
    </row>
    <row r="583" spans="3:3" x14ac:dyDescent="0.25">
      <c r="C583" s="33"/>
    </row>
    <row r="584" spans="3:3" x14ac:dyDescent="0.25">
      <c r="C584" s="33"/>
    </row>
    <row r="585" spans="3:3" x14ac:dyDescent="0.25">
      <c r="C585" s="33"/>
    </row>
    <row r="586" spans="3:3" x14ac:dyDescent="0.25">
      <c r="C586" s="33"/>
    </row>
    <row r="587" spans="3:3" x14ac:dyDescent="0.25">
      <c r="C587" s="33"/>
    </row>
    <row r="588" spans="3:3" x14ac:dyDescent="0.25">
      <c r="C588" s="33"/>
    </row>
    <row r="589" spans="3:3" x14ac:dyDescent="0.25">
      <c r="C589" s="33"/>
    </row>
    <row r="590" spans="3:3" x14ac:dyDescent="0.25">
      <c r="C590" s="33"/>
    </row>
    <row r="591" spans="3:3" x14ac:dyDescent="0.25">
      <c r="C591" s="33"/>
    </row>
    <row r="592" spans="3:3" x14ac:dyDescent="0.25">
      <c r="C592" s="33"/>
    </row>
    <row r="593" spans="3:3" x14ac:dyDescent="0.25">
      <c r="C593" s="33"/>
    </row>
    <row r="594" spans="3:3" x14ac:dyDescent="0.25">
      <c r="C594" s="33"/>
    </row>
    <row r="595" spans="3:3" x14ac:dyDescent="0.25">
      <c r="C595" s="33"/>
    </row>
    <row r="596" spans="3:3" x14ac:dyDescent="0.25">
      <c r="C596" s="33"/>
    </row>
    <row r="597" spans="3:3" x14ac:dyDescent="0.25">
      <c r="C597" s="33"/>
    </row>
    <row r="598" spans="3:3" x14ac:dyDescent="0.25">
      <c r="C598" s="33"/>
    </row>
    <row r="599" spans="3:3" x14ac:dyDescent="0.25">
      <c r="C599" s="33"/>
    </row>
    <row r="600" spans="3:3" x14ac:dyDescent="0.25">
      <c r="C600" s="33"/>
    </row>
    <row r="601" spans="3:3" x14ac:dyDescent="0.25">
      <c r="C601" s="33"/>
    </row>
    <row r="602" spans="3:3" x14ac:dyDescent="0.25">
      <c r="C602" s="33"/>
    </row>
    <row r="603" spans="3:3" x14ac:dyDescent="0.25">
      <c r="C603" s="33"/>
    </row>
    <row r="604" spans="3:3" x14ac:dyDescent="0.25">
      <c r="C604" s="33"/>
    </row>
    <row r="605" spans="3:3" x14ac:dyDescent="0.25">
      <c r="C605" s="33"/>
    </row>
    <row r="606" spans="3:3" x14ac:dyDescent="0.25">
      <c r="C606" s="33"/>
    </row>
    <row r="607" spans="3:3" x14ac:dyDescent="0.25">
      <c r="C607" s="33"/>
    </row>
    <row r="608" spans="3:3" x14ac:dyDescent="0.25">
      <c r="C608" s="33"/>
    </row>
    <row r="609" spans="3:3" x14ac:dyDescent="0.25">
      <c r="C609" s="33"/>
    </row>
    <row r="610" spans="3:3" x14ac:dyDescent="0.25">
      <c r="C610" s="33"/>
    </row>
    <row r="611" spans="3:3" x14ac:dyDescent="0.25">
      <c r="C611" s="33"/>
    </row>
    <row r="612" spans="3:3" x14ac:dyDescent="0.25">
      <c r="C612" s="33"/>
    </row>
    <row r="613" spans="3:3" x14ac:dyDescent="0.25">
      <c r="C613" s="33"/>
    </row>
    <row r="614" spans="3:3" x14ac:dyDescent="0.25">
      <c r="C614" s="33"/>
    </row>
    <row r="615" spans="3:3" x14ac:dyDescent="0.25">
      <c r="C615" s="33"/>
    </row>
    <row r="616" spans="3:3" x14ac:dyDescent="0.25">
      <c r="C616" s="33"/>
    </row>
    <row r="617" spans="3:3" x14ac:dyDescent="0.25">
      <c r="C617" s="33"/>
    </row>
    <row r="618" spans="3:3" x14ac:dyDescent="0.25">
      <c r="C618" s="33"/>
    </row>
    <row r="619" spans="3:3" x14ac:dyDescent="0.25">
      <c r="C619" s="33"/>
    </row>
    <row r="620" spans="3:3" x14ac:dyDescent="0.25">
      <c r="C620" s="33"/>
    </row>
    <row r="621" spans="3:3" x14ac:dyDescent="0.25">
      <c r="C621" s="33"/>
    </row>
    <row r="622" spans="3:3" x14ac:dyDescent="0.25">
      <c r="C622" s="33"/>
    </row>
    <row r="623" spans="3:3" x14ac:dyDescent="0.25">
      <c r="C623" s="33"/>
    </row>
    <row r="624" spans="3:3" x14ac:dyDescent="0.25">
      <c r="C624" s="33"/>
    </row>
    <row r="625" spans="3:3" x14ac:dyDescent="0.25">
      <c r="C625" s="33"/>
    </row>
    <row r="626" spans="3:3" x14ac:dyDescent="0.25">
      <c r="C626" s="33"/>
    </row>
    <row r="627" spans="3:3" x14ac:dyDescent="0.25">
      <c r="C627" s="33"/>
    </row>
    <row r="628" spans="3:3" x14ac:dyDescent="0.25">
      <c r="C628" s="33"/>
    </row>
    <row r="629" spans="3:3" x14ac:dyDescent="0.25">
      <c r="C629" s="33"/>
    </row>
    <row r="630" spans="3:3" x14ac:dyDescent="0.25">
      <c r="C630" s="33"/>
    </row>
    <row r="631" spans="3:3" x14ac:dyDescent="0.25">
      <c r="C631" s="33"/>
    </row>
    <row r="632" spans="3:3" x14ac:dyDescent="0.25">
      <c r="C632" s="33"/>
    </row>
    <row r="633" spans="3:3" x14ac:dyDescent="0.25">
      <c r="C633" s="33"/>
    </row>
    <row r="634" spans="3:3" x14ac:dyDescent="0.25">
      <c r="C634" s="33"/>
    </row>
    <row r="635" spans="3:3" x14ac:dyDescent="0.25">
      <c r="C635" s="33"/>
    </row>
    <row r="636" spans="3:3" x14ac:dyDescent="0.25">
      <c r="C636" s="33"/>
    </row>
    <row r="637" spans="3:3" x14ac:dyDescent="0.25">
      <c r="C637" s="33"/>
    </row>
    <row r="638" spans="3:3" x14ac:dyDescent="0.25">
      <c r="C638" s="33"/>
    </row>
    <row r="639" spans="3:3" x14ac:dyDescent="0.25">
      <c r="C639" s="33"/>
    </row>
    <row r="640" spans="3:3" x14ac:dyDescent="0.25">
      <c r="C640" s="33"/>
    </row>
    <row r="641" spans="3:3" x14ac:dyDescent="0.25">
      <c r="C641" s="33"/>
    </row>
    <row r="642" spans="3:3" x14ac:dyDescent="0.25">
      <c r="C642" s="33"/>
    </row>
    <row r="643" spans="3:3" x14ac:dyDescent="0.25">
      <c r="C643" s="33"/>
    </row>
    <row r="644" spans="3:3" x14ac:dyDescent="0.25">
      <c r="C644" s="33"/>
    </row>
    <row r="645" spans="3:3" x14ac:dyDescent="0.25">
      <c r="C645" s="33"/>
    </row>
    <row r="646" spans="3:3" x14ac:dyDescent="0.25">
      <c r="C646" s="33"/>
    </row>
    <row r="647" spans="3:3" x14ac:dyDescent="0.25">
      <c r="C647" s="33"/>
    </row>
    <row r="648" spans="3:3" x14ac:dyDescent="0.25">
      <c r="C648" s="33"/>
    </row>
    <row r="649" spans="3:3" x14ac:dyDescent="0.25">
      <c r="C649" s="33"/>
    </row>
    <row r="650" spans="3:3" x14ac:dyDescent="0.25">
      <c r="C650" s="33"/>
    </row>
    <row r="651" spans="3:3" x14ac:dyDescent="0.25">
      <c r="C651" s="33"/>
    </row>
    <row r="652" spans="3:3" x14ac:dyDescent="0.25">
      <c r="C652" s="33"/>
    </row>
    <row r="653" spans="3:3" x14ac:dyDescent="0.25">
      <c r="C653" s="33"/>
    </row>
    <row r="654" spans="3:3" x14ac:dyDescent="0.25">
      <c r="C654" s="33"/>
    </row>
    <row r="655" spans="3:3" x14ac:dyDescent="0.25">
      <c r="C655" s="33"/>
    </row>
    <row r="656" spans="3:3" x14ac:dyDescent="0.25">
      <c r="C656" s="33"/>
    </row>
    <row r="657" spans="3:3" x14ac:dyDescent="0.25">
      <c r="C657" s="33"/>
    </row>
    <row r="658" spans="3:3" x14ac:dyDescent="0.25">
      <c r="C658" s="33"/>
    </row>
    <row r="659" spans="3:3" x14ac:dyDescent="0.25">
      <c r="C659" s="33"/>
    </row>
    <row r="660" spans="3:3" x14ac:dyDescent="0.25">
      <c r="C660" s="33"/>
    </row>
    <row r="661" spans="3:3" x14ac:dyDescent="0.25">
      <c r="C661" s="33"/>
    </row>
    <row r="662" spans="3:3" x14ac:dyDescent="0.25">
      <c r="C662" s="33"/>
    </row>
    <row r="663" spans="3:3" x14ac:dyDescent="0.25">
      <c r="C663" s="33"/>
    </row>
    <row r="664" spans="3:3" x14ac:dyDescent="0.25">
      <c r="C664" s="33"/>
    </row>
    <row r="665" spans="3:3" x14ac:dyDescent="0.25">
      <c r="C665" s="33"/>
    </row>
    <row r="666" spans="3:3" x14ac:dyDescent="0.25">
      <c r="C666" s="33"/>
    </row>
    <row r="667" spans="3:3" x14ac:dyDescent="0.25">
      <c r="C667" s="33"/>
    </row>
    <row r="668" spans="3:3" x14ac:dyDescent="0.25">
      <c r="C668" s="33"/>
    </row>
    <row r="669" spans="3:3" x14ac:dyDescent="0.25">
      <c r="C669" s="33"/>
    </row>
    <row r="670" spans="3:3" x14ac:dyDescent="0.25">
      <c r="C670" s="33"/>
    </row>
    <row r="671" spans="3:3" x14ac:dyDescent="0.25">
      <c r="C671" s="33"/>
    </row>
    <row r="672" spans="3:3" x14ac:dyDescent="0.25">
      <c r="C672" s="33"/>
    </row>
    <row r="673" spans="3:3" x14ac:dyDescent="0.25">
      <c r="C673" s="33"/>
    </row>
    <row r="674" spans="3:3" x14ac:dyDescent="0.25">
      <c r="C674" s="33"/>
    </row>
    <row r="675" spans="3:3" x14ac:dyDescent="0.25">
      <c r="C675" s="33"/>
    </row>
    <row r="676" spans="3:3" x14ac:dyDescent="0.25">
      <c r="C676" s="33"/>
    </row>
    <row r="677" spans="3:3" x14ac:dyDescent="0.25">
      <c r="C677" s="33"/>
    </row>
    <row r="678" spans="3:3" x14ac:dyDescent="0.25">
      <c r="C678" s="33"/>
    </row>
    <row r="679" spans="3:3" x14ac:dyDescent="0.25">
      <c r="C679" s="33"/>
    </row>
    <row r="680" spans="3:3" x14ac:dyDescent="0.25">
      <c r="C680" s="33"/>
    </row>
    <row r="681" spans="3:3" x14ac:dyDescent="0.25">
      <c r="C681" s="33"/>
    </row>
    <row r="682" spans="3:3" x14ac:dyDescent="0.25">
      <c r="C682" s="33"/>
    </row>
    <row r="683" spans="3:3" x14ac:dyDescent="0.25">
      <c r="C683" s="33"/>
    </row>
    <row r="684" spans="3:3" x14ac:dyDescent="0.25">
      <c r="C684" s="33"/>
    </row>
    <row r="685" spans="3:3" x14ac:dyDescent="0.25">
      <c r="C685" s="33"/>
    </row>
    <row r="686" spans="3:3" x14ac:dyDescent="0.25">
      <c r="C686" s="33"/>
    </row>
    <row r="687" spans="3:3" x14ac:dyDescent="0.25">
      <c r="C687" s="33"/>
    </row>
    <row r="688" spans="3:3" x14ac:dyDescent="0.25">
      <c r="C688" s="33"/>
    </row>
    <row r="689" spans="3:3" x14ac:dyDescent="0.25">
      <c r="C689" s="33"/>
    </row>
    <row r="690" spans="3:3" x14ac:dyDescent="0.25">
      <c r="C690" s="33"/>
    </row>
    <row r="691" spans="3:3" x14ac:dyDescent="0.25">
      <c r="C691" s="33"/>
    </row>
    <row r="692" spans="3:3" x14ac:dyDescent="0.25">
      <c r="C692" s="33"/>
    </row>
    <row r="693" spans="3:3" x14ac:dyDescent="0.25">
      <c r="C693" s="33"/>
    </row>
    <row r="694" spans="3:3" x14ac:dyDescent="0.25">
      <c r="C694" s="33"/>
    </row>
    <row r="695" spans="3:3" x14ac:dyDescent="0.25">
      <c r="C695" s="33"/>
    </row>
    <row r="696" spans="3:3" x14ac:dyDescent="0.25">
      <c r="C696" s="33"/>
    </row>
    <row r="697" spans="3:3" x14ac:dyDescent="0.25">
      <c r="C697" s="33"/>
    </row>
    <row r="698" spans="3:3" x14ac:dyDescent="0.25">
      <c r="C698" s="33"/>
    </row>
    <row r="699" spans="3:3" x14ac:dyDescent="0.25">
      <c r="C699" s="33"/>
    </row>
    <row r="700" spans="3:3" x14ac:dyDescent="0.25">
      <c r="C700" s="33"/>
    </row>
    <row r="701" spans="3:3" x14ac:dyDescent="0.25">
      <c r="C701" s="33"/>
    </row>
    <row r="702" spans="3:3" x14ac:dyDescent="0.25">
      <c r="C702" s="33"/>
    </row>
    <row r="703" spans="3:3" x14ac:dyDescent="0.25">
      <c r="C703" s="33"/>
    </row>
    <row r="704" spans="3:3" x14ac:dyDescent="0.25">
      <c r="C704" s="33"/>
    </row>
    <row r="705" spans="3:3" x14ac:dyDescent="0.25">
      <c r="C705" s="33"/>
    </row>
    <row r="706" spans="3:3" x14ac:dyDescent="0.25">
      <c r="C706" s="33"/>
    </row>
    <row r="707" spans="3:3" x14ac:dyDescent="0.25">
      <c r="C707" s="33"/>
    </row>
    <row r="708" spans="3:3" x14ac:dyDescent="0.25">
      <c r="C708" s="33"/>
    </row>
    <row r="709" spans="3:3" x14ac:dyDescent="0.25">
      <c r="C709" s="33"/>
    </row>
    <row r="710" spans="3:3" x14ac:dyDescent="0.25">
      <c r="C710" s="33"/>
    </row>
    <row r="711" spans="3:3" x14ac:dyDescent="0.25">
      <c r="C711" s="33"/>
    </row>
    <row r="712" spans="3:3" x14ac:dyDescent="0.25">
      <c r="C712" s="33"/>
    </row>
    <row r="713" spans="3:3" x14ac:dyDescent="0.25">
      <c r="C713" s="33"/>
    </row>
    <row r="714" spans="3:3" x14ac:dyDescent="0.25">
      <c r="C714" s="33"/>
    </row>
    <row r="715" spans="3:3" x14ac:dyDescent="0.25">
      <c r="C715" s="33"/>
    </row>
    <row r="716" spans="3:3" x14ac:dyDescent="0.25">
      <c r="C716" s="33"/>
    </row>
    <row r="717" spans="3:3" x14ac:dyDescent="0.25">
      <c r="C717" s="33"/>
    </row>
    <row r="718" spans="3:3" x14ac:dyDescent="0.25">
      <c r="C718" s="33"/>
    </row>
    <row r="719" spans="3:3" x14ac:dyDescent="0.25">
      <c r="C719" s="33"/>
    </row>
    <row r="720" spans="3:3" x14ac:dyDescent="0.25">
      <c r="C720" s="33"/>
    </row>
    <row r="721" spans="3:3" x14ac:dyDescent="0.25">
      <c r="C721" s="33"/>
    </row>
    <row r="722" spans="3:3" x14ac:dyDescent="0.25">
      <c r="C722" s="33"/>
    </row>
    <row r="723" spans="3:3" x14ac:dyDescent="0.25">
      <c r="C723" s="33"/>
    </row>
    <row r="724" spans="3:3" x14ac:dyDescent="0.25">
      <c r="C724" s="33"/>
    </row>
    <row r="725" spans="3:3" x14ac:dyDescent="0.25">
      <c r="C725" s="33"/>
    </row>
    <row r="726" spans="3:3" x14ac:dyDescent="0.25">
      <c r="C726" s="33"/>
    </row>
    <row r="727" spans="3:3" x14ac:dyDescent="0.25">
      <c r="C727" s="33"/>
    </row>
    <row r="728" spans="3:3" x14ac:dyDescent="0.25">
      <c r="C728" s="33"/>
    </row>
    <row r="729" spans="3:3" x14ac:dyDescent="0.25">
      <c r="C729" s="33"/>
    </row>
    <row r="730" spans="3:3" x14ac:dyDescent="0.25">
      <c r="C730" s="33"/>
    </row>
    <row r="731" spans="3:3" x14ac:dyDescent="0.25">
      <c r="C731" s="33"/>
    </row>
    <row r="732" spans="3:3" x14ac:dyDescent="0.25">
      <c r="C732" s="33"/>
    </row>
    <row r="733" spans="3:3" x14ac:dyDescent="0.25">
      <c r="C733" s="33"/>
    </row>
    <row r="734" spans="3:3" x14ac:dyDescent="0.25">
      <c r="C734" s="33"/>
    </row>
    <row r="735" spans="3:3" x14ac:dyDescent="0.25">
      <c r="C735" s="33"/>
    </row>
    <row r="736" spans="3:3" x14ac:dyDescent="0.25">
      <c r="C736" s="33"/>
    </row>
    <row r="737" spans="3:3" x14ac:dyDescent="0.25">
      <c r="C737" s="33"/>
    </row>
    <row r="738" spans="3:3" x14ac:dyDescent="0.25">
      <c r="C738" s="33"/>
    </row>
    <row r="739" spans="3:3" x14ac:dyDescent="0.25">
      <c r="C739" s="33"/>
    </row>
    <row r="740" spans="3:3" x14ac:dyDescent="0.25">
      <c r="C740" s="33"/>
    </row>
    <row r="741" spans="3:3" x14ac:dyDescent="0.25">
      <c r="C741" s="33"/>
    </row>
    <row r="742" spans="3:3" x14ac:dyDescent="0.25">
      <c r="C742" s="33"/>
    </row>
    <row r="743" spans="3:3" x14ac:dyDescent="0.25">
      <c r="C743" s="33"/>
    </row>
    <row r="744" spans="3:3" x14ac:dyDescent="0.25">
      <c r="C744" s="33"/>
    </row>
    <row r="745" spans="3:3" x14ac:dyDescent="0.25">
      <c r="C745" s="33"/>
    </row>
    <row r="746" spans="3:3" x14ac:dyDescent="0.25">
      <c r="C746" s="33"/>
    </row>
    <row r="747" spans="3:3" x14ac:dyDescent="0.25">
      <c r="C747" s="33"/>
    </row>
    <row r="748" spans="3:3" x14ac:dyDescent="0.25">
      <c r="C748" s="33"/>
    </row>
    <row r="749" spans="3:3" x14ac:dyDescent="0.25">
      <c r="C749" s="33"/>
    </row>
    <row r="750" spans="3:3" x14ac:dyDescent="0.25">
      <c r="C750" s="33"/>
    </row>
    <row r="751" spans="3:3" x14ac:dyDescent="0.25">
      <c r="C751" s="33"/>
    </row>
    <row r="752" spans="3:3" x14ac:dyDescent="0.25">
      <c r="C752" s="33"/>
    </row>
    <row r="753" spans="3:3" x14ac:dyDescent="0.25">
      <c r="C753" s="33"/>
    </row>
    <row r="754" spans="3:3" x14ac:dyDescent="0.25">
      <c r="C754" s="33"/>
    </row>
    <row r="755" spans="3:3" x14ac:dyDescent="0.25">
      <c r="C755" s="33"/>
    </row>
    <row r="756" spans="3:3" x14ac:dyDescent="0.25">
      <c r="C756" s="33"/>
    </row>
    <row r="757" spans="3:3" x14ac:dyDescent="0.25">
      <c r="C757" s="33"/>
    </row>
    <row r="758" spans="3:3" x14ac:dyDescent="0.25">
      <c r="C758" s="33"/>
    </row>
    <row r="759" spans="3:3" x14ac:dyDescent="0.25">
      <c r="C759" s="33"/>
    </row>
    <row r="760" spans="3:3" x14ac:dyDescent="0.25">
      <c r="C760" s="33"/>
    </row>
    <row r="761" spans="3:3" x14ac:dyDescent="0.25">
      <c r="C761" s="33"/>
    </row>
    <row r="762" spans="3:3" x14ac:dyDescent="0.25">
      <c r="C762" s="33"/>
    </row>
    <row r="763" spans="3:3" x14ac:dyDescent="0.25">
      <c r="C763" s="33"/>
    </row>
    <row r="764" spans="3:3" x14ac:dyDescent="0.25">
      <c r="C764" s="33"/>
    </row>
    <row r="765" spans="3:3" x14ac:dyDescent="0.25">
      <c r="C765" s="33"/>
    </row>
    <row r="766" spans="3:3" x14ac:dyDescent="0.25">
      <c r="C766" s="33"/>
    </row>
    <row r="767" spans="3:3" x14ac:dyDescent="0.25">
      <c r="C767" s="33"/>
    </row>
    <row r="768" spans="3:3" x14ac:dyDescent="0.25">
      <c r="C768" s="33"/>
    </row>
    <row r="769" spans="3:3" x14ac:dyDescent="0.25">
      <c r="C769" s="33"/>
    </row>
    <row r="770" spans="3:3" x14ac:dyDescent="0.25">
      <c r="C770" s="33"/>
    </row>
    <row r="771" spans="3:3" x14ac:dyDescent="0.25">
      <c r="C771" s="33"/>
    </row>
    <row r="772" spans="3:3" x14ac:dyDescent="0.25">
      <c r="C772" s="33"/>
    </row>
    <row r="773" spans="3:3" x14ac:dyDescent="0.25">
      <c r="C773" s="33"/>
    </row>
    <row r="774" spans="3:3" x14ac:dyDescent="0.25">
      <c r="C774" s="33"/>
    </row>
    <row r="775" spans="3:3" x14ac:dyDescent="0.25">
      <c r="C775" s="33"/>
    </row>
    <row r="776" spans="3:3" x14ac:dyDescent="0.25">
      <c r="C776" s="33"/>
    </row>
    <row r="777" spans="3:3" x14ac:dyDescent="0.25">
      <c r="C777" s="33"/>
    </row>
    <row r="778" spans="3:3" x14ac:dyDescent="0.25">
      <c r="C778" s="33"/>
    </row>
    <row r="779" spans="3:3" x14ac:dyDescent="0.25">
      <c r="C779" s="33"/>
    </row>
    <row r="780" spans="3:3" x14ac:dyDescent="0.25">
      <c r="C780" s="33"/>
    </row>
    <row r="781" spans="3:3" x14ac:dyDescent="0.25">
      <c r="C781" s="33"/>
    </row>
    <row r="782" spans="3:3" x14ac:dyDescent="0.25">
      <c r="C782" s="33"/>
    </row>
    <row r="783" spans="3:3" x14ac:dyDescent="0.25">
      <c r="C783" s="33"/>
    </row>
    <row r="784" spans="3:3" x14ac:dyDescent="0.25">
      <c r="C784" s="33"/>
    </row>
    <row r="785" spans="3:3" x14ac:dyDescent="0.25">
      <c r="C785" s="33"/>
    </row>
    <row r="786" spans="3:3" x14ac:dyDescent="0.25">
      <c r="C786" s="33"/>
    </row>
    <row r="787" spans="3:3" x14ac:dyDescent="0.25">
      <c r="C787" s="33"/>
    </row>
    <row r="788" spans="3:3" x14ac:dyDescent="0.25">
      <c r="C788" s="33"/>
    </row>
    <row r="789" spans="3:3" x14ac:dyDescent="0.25">
      <c r="C789" s="33"/>
    </row>
    <row r="790" spans="3:3" x14ac:dyDescent="0.25">
      <c r="C790" s="33"/>
    </row>
    <row r="791" spans="3:3" x14ac:dyDescent="0.25">
      <c r="C791" s="33"/>
    </row>
    <row r="792" spans="3:3" x14ac:dyDescent="0.25">
      <c r="C792" s="33"/>
    </row>
    <row r="793" spans="3:3" x14ac:dyDescent="0.25">
      <c r="C793" s="33"/>
    </row>
    <row r="794" spans="3:3" x14ac:dyDescent="0.25">
      <c r="C794" s="33"/>
    </row>
    <row r="795" spans="3:3" x14ac:dyDescent="0.25">
      <c r="C795" s="33"/>
    </row>
    <row r="796" spans="3:3" x14ac:dyDescent="0.25">
      <c r="C796" s="33"/>
    </row>
    <row r="797" spans="3:3" x14ac:dyDescent="0.25">
      <c r="C797" s="33"/>
    </row>
    <row r="798" spans="3:3" x14ac:dyDescent="0.25">
      <c r="C798" s="33"/>
    </row>
    <row r="799" spans="3:3" x14ac:dyDescent="0.25">
      <c r="C799" s="33"/>
    </row>
    <row r="800" spans="3:3" x14ac:dyDescent="0.25">
      <c r="C800" s="33"/>
    </row>
    <row r="801" spans="3:3" x14ac:dyDescent="0.25">
      <c r="C801" s="33"/>
    </row>
    <row r="802" spans="3:3" x14ac:dyDescent="0.25">
      <c r="C802" s="33"/>
    </row>
    <row r="803" spans="3:3" x14ac:dyDescent="0.25">
      <c r="C803" s="33"/>
    </row>
    <row r="804" spans="3:3" x14ac:dyDescent="0.25">
      <c r="C804" s="33"/>
    </row>
    <row r="805" spans="3:3" x14ac:dyDescent="0.25">
      <c r="C805" s="33"/>
    </row>
    <row r="806" spans="3:3" x14ac:dyDescent="0.25">
      <c r="C806" s="33"/>
    </row>
    <row r="807" spans="3:3" x14ac:dyDescent="0.25">
      <c r="C807" s="33"/>
    </row>
    <row r="808" spans="3:3" x14ac:dyDescent="0.25">
      <c r="C808" s="33"/>
    </row>
    <row r="809" spans="3:3" x14ac:dyDescent="0.25">
      <c r="C809" s="33"/>
    </row>
    <row r="810" spans="3:3" x14ac:dyDescent="0.25">
      <c r="C810" s="33"/>
    </row>
    <row r="811" spans="3:3" x14ac:dyDescent="0.25">
      <c r="C811" s="33"/>
    </row>
    <row r="812" spans="3:3" x14ac:dyDescent="0.25">
      <c r="C812" s="33"/>
    </row>
    <row r="813" spans="3:3" x14ac:dyDescent="0.25">
      <c r="C813" s="33"/>
    </row>
    <row r="814" spans="3:3" x14ac:dyDescent="0.25">
      <c r="C814" s="33"/>
    </row>
    <row r="815" spans="3:3" x14ac:dyDescent="0.25">
      <c r="C815" s="33"/>
    </row>
    <row r="816" spans="3:3" x14ac:dyDescent="0.25">
      <c r="C816" s="33"/>
    </row>
    <row r="817" spans="3:3" x14ac:dyDescent="0.25">
      <c r="C817" s="33"/>
    </row>
    <row r="818" spans="3:3" x14ac:dyDescent="0.25">
      <c r="C818" s="33"/>
    </row>
    <row r="819" spans="3:3" x14ac:dyDescent="0.25">
      <c r="C819" s="33"/>
    </row>
    <row r="820" spans="3:3" x14ac:dyDescent="0.25">
      <c r="C820" s="33"/>
    </row>
    <row r="821" spans="3:3" x14ac:dyDescent="0.25">
      <c r="C821" s="33"/>
    </row>
    <row r="822" spans="3:3" x14ac:dyDescent="0.25">
      <c r="C822" s="33"/>
    </row>
    <row r="823" spans="3:3" x14ac:dyDescent="0.25">
      <c r="C823" s="33"/>
    </row>
    <row r="824" spans="3:3" x14ac:dyDescent="0.25">
      <c r="C824" s="33"/>
    </row>
    <row r="825" spans="3:3" x14ac:dyDescent="0.25">
      <c r="C825" s="33"/>
    </row>
    <row r="826" spans="3:3" x14ac:dyDescent="0.25">
      <c r="C826" s="33"/>
    </row>
    <row r="827" spans="3:3" x14ac:dyDescent="0.25">
      <c r="C827" s="33"/>
    </row>
    <row r="828" spans="3:3" x14ac:dyDescent="0.25">
      <c r="C828" s="33"/>
    </row>
    <row r="829" spans="3:3" x14ac:dyDescent="0.25">
      <c r="C829" s="33"/>
    </row>
    <row r="830" spans="3:3" x14ac:dyDescent="0.25">
      <c r="C830" s="33"/>
    </row>
    <row r="831" spans="3:3" x14ac:dyDescent="0.25">
      <c r="C831" s="33"/>
    </row>
    <row r="832" spans="3:3" x14ac:dyDescent="0.25">
      <c r="C832" s="33"/>
    </row>
    <row r="833" spans="3:3" x14ac:dyDescent="0.25">
      <c r="C833" s="33"/>
    </row>
    <row r="834" spans="3:3" x14ac:dyDescent="0.25">
      <c r="C834" s="33"/>
    </row>
    <row r="835" spans="3:3" x14ac:dyDescent="0.25">
      <c r="C835" s="33"/>
    </row>
    <row r="836" spans="3:3" x14ac:dyDescent="0.25">
      <c r="C836" s="33"/>
    </row>
    <row r="837" spans="3:3" x14ac:dyDescent="0.25">
      <c r="C837" s="33"/>
    </row>
    <row r="838" spans="3:3" x14ac:dyDescent="0.25">
      <c r="C838" s="33"/>
    </row>
    <row r="839" spans="3:3" x14ac:dyDescent="0.25">
      <c r="C839" s="33"/>
    </row>
    <row r="840" spans="3:3" x14ac:dyDescent="0.25">
      <c r="C840" s="33"/>
    </row>
    <row r="841" spans="3:3" x14ac:dyDescent="0.25">
      <c r="C841" s="33"/>
    </row>
    <row r="842" spans="3:3" x14ac:dyDescent="0.25">
      <c r="C842" s="33"/>
    </row>
    <row r="843" spans="3:3" x14ac:dyDescent="0.25">
      <c r="C843" s="33"/>
    </row>
    <row r="844" spans="3:3" x14ac:dyDescent="0.25">
      <c r="C844" s="33"/>
    </row>
    <row r="845" spans="3:3" x14ac:dyDescent="0.25">
      <c r="C845" s="33"/>
    </row>
    <row r="846" spans="3:3" x14ac:dyDescent="0.25">
      <c r="C846" s="33"/>
    </row>
    <row r="847" spans="3:3" x14ac:dyDescent="0.25">
      <c r="C847" s="33"/>
    </row>
    <row r="848" spans="3:3" x14ac:dyDescent="0.25">
      <c r="C848" s="33"/>
    </row>
    <row r="849" spans="3:3" x14ac:dyDescent="0.25">
      <c r="C849" s="33"/>
    </row>
    <row r="850" spans="3:3" x14ac:dyDescent="0.25">
      <c r="C850" s="33"/>
    </row>
    <row r="851" spans="3:3" x14ac:dyDescent="0.25">
      <c r="C851" s="33"/>
    </row>
    <row r="852" spans="3:3" x14ac:dyDescent="0.25">
      <c r="C852" s="33"/>
    </row>
    <row r="853" spans="3:3" x14ac:dyDescent="0.25">
      <c r="C853" s="33"/>
    </row>
    <row r="854" spans="3:3" x14ac:dyDescent="0.25">
      <c r="C854" s="33"/>
    </row>
    <row r="855" spans="3:3" x14ac:dyDescent="0.25">
      <c r="C855" s="33"/>
    </row>
    <row r="856" spans="3:3" x14ac:dyDescent="0.25">
      <c r="C856" s="33"/>
    </row>
    <row r="857" spans="3:3" x14ac:dyDescent="0.25">
      <c r="C857" s="33"/>
    </row>
    <row r="858" spans="3:3" x14ac:dyDescent="0.25">
      <c r="C858" s="33"/>
    </row>
    <row r="859" spans="3:3" x14ac:dyDescent="0.25">
      <c r="C859" s="33"/>
    </row>
    <row r="860" spans="3:3" x14ac:dyDescent="0.25">
      <c r="C860" s="33"/>
    </row>
    <row r="861" spans="3:3" x14ac:dyDescent="0.25">
      <c r="C861" s="33"/>
    </row>
    <row r="862" spans="3:3" x14ac:dyDescent="0.25">
      <c r="C862" s="33"/>
    </row>
    <row r="863" spans="3:3" x14ac:dyDescent="0.25">
      <c r="C863" s="33"/>
    </row>
    <row r="864" spans="3:3" x14ac:dyDescent="0.25">
      <c r="C864" s="33"/>
    </row>
    <row r="865" spans="3:3" x14ac:dyDescent="0.25">
      <c r="C865" s="33"/>
    </row>
    <row r="866" spans="3:3" x14ac:dyDescent="0.25">
      <c r="C866" s="33"/>
    </row>
    <row r="867" spans="3:3" x14ac:dyDescent="0.25">
      <c r="C867" s="33"/>
    </row>
    <row r="868" spans="3:3" x14ac:dyDescent="0.25">
      <c r="C868" s="33"/>
    </row>
    <row r="869" spans="3:3" x14ac:dyDescent="0.25">
      <c r="C869" s="33"/>
    </row>
    <row r="870" spans="3:3" x14ac:dyDescent="0.25">
      <c r="C870" s="33"/>
    </row>
    <row r="871" spans="3:3" x14ac:dyDescent="0.25">
      <c r="C871" s="33"/>
    </row>
    <row r="872" spans="3:3" x14ac:dyDescent="0.25">
      <c r="C872" s="33"/>
    </row>
    <row r="873" spans="3:3" x14ac:dyDescent="0.25">
      <c r="C873" s="33"/>
    </row>
    <row r="874" spans="3:3" x14ac:dyDescent="0.25">
      <c r="C874" s="33"/>
    </row>
    <row r="875" spans="3:3" x14ac:dyDescent="0.25">
      <c r="C875" s="33"/>
    </row>
    <row r="876" spans="3:3" x14ac:dyDescent="0.25">
      <c r="C876" s="33"/>
    </row>
    <row r="877" spans="3:3" x14ac:dyDescent="0.25">
      <c r="C877" s="33"/>
    </row>
    <row r="878" spans="3:3" x14ac:dyDescent="0.25">
      <c r="C878" s="33"/>
    </row>
    <row r="879" spans="3:3" x14ac:dyDescent="0.25">
      <c r="C879" s="33"/>
    </row>
    <row r="880" spans="3:3" x14ac:dyDescent="0.25">
      <c r="C880" s="33"/>
    </row>
    <row r="881" spans="3:3" x14ac:dyDescent="0.25">
      <c r="C881" s="33"/>
    </row>
    <row r="882" spans="3:3" x14ac:dyDescent="0.25">
      <c r="C882" s="33"/>
    </row>
    <row r="883" spans="3:3" x14ac:dyDescent="0.25">
      <c r="C883" s="33"/>
    </row>
    <row r="884" spans="3:3" x14ac:dyDescent="0.25">
      <c r="C884" s="33"/>
    </row>
    <row r="885" spans="3:3" x14ac:dyDescent="0.25">
      <c r="C885" s="33"/>
    </row>
    <row r="886" spans="3:3" x14ac:dyDescent="0.25">
      <c r="C886" s="33"/>
    </row>
    <row r="887" spans="3:3" x14ac:dyDescent="0.25">
      <c r="C887" s="33"/>
    </row>
    <row r="888" spans="3:3" x14ac:dyDescent="0.25">
      <c r="C888" s="33"/>
    </row>
    <row r="889" spans="3:3" x14ac:dyDescent="0.25">
      <c r="C889" s="33"/>
    </row>
    <row r="890" spans="3:3" x14ac:dyDescent="0.25">
      <c r="C890" s="33"/>
    </row>
    <row r="891" spans="3:3" x14ac:dyDescent="0.25">
      <c r="C891" s="33"/>
    </row>
    <row r="892" spans="3:3" x14ac:dyDescent="0.25">
      <c r="C892" s="33"/>
    </row>
    <row r="893" spans="3:3" x14ac:dyDescent="0.25">
      <c r="C893" s="33"/>
    </row>
    <row r="894" spans="3:3" x14ac:dyDescent="0.25">
      <c r="C894" s="33"/>
    </row>
    <row r="895" spans="3:3" x14ac:dyDescent="0.25">
      <c r="C895" s="33"/>
    </row>
    <row r="896" spans="3:3" x14ac:dyDescent="0.25">
      <c r="C896" s="33"/>
    </row>
    <row r="897" spans="3:3" x14ac:dyDescent="0.25">
      <c r="C897" s="33"/>
    </row>
    <row r="898" spans="3:3" x14ac:dyDescent="0.25">
      <c r="C898" s="33"/>
    </row>
    <row r="899" spans="3:3" x14ac:dyDescent="0.25">
      <c r="C899" s="33"/>
    </row>
    <row r="900" spans="3:3" x14ac:dyDescent="0.25">
      <c r="C900" s="33"/>
    </row>
    <row r="901" spans="3:3" x14ac:dyDescent="0.25">
      <c r="C901" s="33"/>
    </row>
    <row r="902" spans="3:3" x14ac:dyDescent="0.25">
      <c r="C902" s="33"/>
    </row>
    <row r="903" spans="3:3" x14ac:dyDescent="0.25">
      <c r="C903" s="33"/>
    </row>
    <row r="904" spans="3:3" x14ac:dyDescent="0.25">
      <c r="C904" s="33"/>
    </row>
    <row r="905" spans="3:3" x14ac:dyDescent="0.25">
      <c r="C905" s="33"/>
    </row>
    <row r="906" spans="3:3" x14ac:dyDescent="0.25">
      <c r="C906" s="33"/>
    </row>
    <row r="907" spans="3:3" x14ac:dyDescent="0.25">
      <c r="C907" s="33"/>
    </row>
    <row r="908" spans="3:3" x14ac:dyDescent="0.25">
      <c r="C908" s="33"/>
    </row>
    <row r="909" spans="3:3" x14ac:dyDescent="0.25">
      <c r="C909" s="33"/>
    </row>
    <row r="910" spans="3:3" x14ac:dyDescent="0.25">
      <c r="C910" s="33"/>
    </row>
    <row r="911" spans="3:3" x14ac:dyDescent="0.25">
      <c r="C911" s="33"/>
    </row>
    <row r="912" spans="3:3" x14ac:dyDescent="0.25">
      <c r="C912" s="33"/>
    </row>
    <row r="913" spans="3:3" x14ac:dyDescent="0.25">
      <c r="C913" s="33"/>
    </row>
    <row r="914" spans="3:3" x14ac:dyDescent="0.25">
      <c r="C914" s="33"/>
    </row>
    <row r="915" spans="3:3" x14ac:dyDescent="0.25">
      <c r="C915" s="33"/>
    </row>
    <row r="916" spans="3:3" x14ac:dyDescent="0.25">
      <c r="C916" s="33"/>
    </row>
    <row r="917" spans="3:3" x14ac:dyDescent="0.25">
      <c r="C917" s="33"/>
    </row>
    <row r="918" spans="3:3" x14ac:dyDescent="0.25">
      <c r="C918" s="33"/>
    </row>
    <row r="919" spans="3:3" x14ac:dyDescent="0.25">
      <c r="C919" s="33"/>
    </row>
    <row r="920" spans="3:3" x14ac:dyDescent="0.25">
      <c r="C920" s="33"/>
    </row>
    <row r="921" spans="3:3" x14ac:dyDescent="0.25">
      <c r="C921" s="33"/>
    </row>
    <row r="922" spans="3:3" x14ac:dyDescent="0.25">
      <c r="C922" s="33"/>
    </row>
    <row r="923" spans="3:3" x14ac:dyDescent="0.25">
      <c r="C923" s="33"/>
    </row>
    <row r="924" spans="3:3" x14ac:dyDescent="0.25">
      <c r="C924" s="33"/>
    </row>
    <row r="925" spans="3:3" x14ac:dyDescent="0.25">
      <c r="C925" s="33"/>
    </row>
    <row r="926" spans="3:3" x14ac:dyDescent="0.25">
      <c r="C926" s="33"/>
    </row>
    <row r="927" spans="3:3" x14ac:dyDescent="0.25">
      <c r="C927" s="33"/>
    </row>
    <row r="928" spans="3:3" x14ac:dyDescent="0.25">
      <c r="C928" s="33"/>
    </row>
    <row r="929" spans="3:3" x14ac:dyDescent="0.25">
      <c r="C929" s="33"/>
    </row>
    <row r="930" spans="3:3" x14ac:dyDescent="0.25">
      <c r="C930" s="33"/>
    </row>
    <row r="931" spans="3:3" x14ac:dyDescent="0.25">
      <c r="C931" s="33"/>
    </row>
    <row r="932" spans="3:3" x14ac:dyDescent="0.25">
      <c r="C932" s="33"/>
    </row>
    <row r="933" spans="3:3" x14ac:dyDescent="0.25">
      <c r="C933" s="33"/>
    </row>
    <row r="934" spans="3:3" x14ac:dyDescent="0.25">
      <c r="C934" s="33"/>
    </row>
    <row r="935" spans="3:3" x14ac:dyDescent="0.25">
      <c r="C935" s="33"/>
    </row>
    <row r="936" spans="3:3" x14ac:dyDescent="0.25">
      <c r="C936" s="33"/>
    </row>
    <row r="937" spans="3:3" x14ac:dyDescent="0.25">
      <c r="C937" s="33"/>
    </row>
    <row r="938" spans="3:3" x14ac:dyDescent="0.25">
      <c r="C938" s="33"/>
    </row>
    <row r="939" spans="3:3" x14ac:dyDescent="0.25">
      <c r="C939" s="33"/>
    </row>
    <row r="940" spans="3:3" x14ac:dyDescent="0.25">
      <c r="C940" s="33"/>
    </row>
    <row r="941" spans="3:3" x14ac:dyDescent="0.25">
      <c r="C941" s="33"/>
    </row>
    <row r="942" spans="3:3" x14ac:dyDescent="0.25">
      <c r="C942" s="33"/>
    </row>
    <row r="943" spans="3:3" x14ac:dyDescent="0.25">
      <c r="C943" s="33"/>
    </row>
    <row r="944" spans="3:3" x14ac:dyDescent="0.25">
      <c r="C944" s="33"/>
    </row>
    <row r="945" spans="3:3" x14ac:dyDescent="0.25">
      <c r="C945" s="33"/>
    </row>
    <row r="946" spans="3:3" x14ac:dyDescent="0.25">
      <c r="C946" s="33"/>
    </row>
    <row r="947" spans="3:3" x14ac:dyDescent="0.25">
      <c r="C947" s="33"/>
    </row>
    <row r="948" spans="3:3" x14ac:dyDescent="0.25">
      <c r="C948" s="33"/>
    </row>
    <row r="949" spans="3:3" x14ac:dyDescent="0.25">
      <c r="C949" s="33"/>
    </row>
    <row r="950" spans="3:3" x14ac:dyDescent="0.25">
      <c r="C950" s="33"/>
    </row>
    <row r="951" spans="3:3" x14ac:dyDescent="0.25">
      <c r="C951" s="33"/>
    </row>
    <row r="952" spans="3:3" x14ac:dyDescent="0.25">
      <c r="C952" s="33"/>
    </row>
    <row r="953" spans="3:3" x14ac:dyDescent="0.25">
      <c r="C953" s="33"/>
    </row>
    <row r="954" spans="3:3" x14ac:dyDescent="0.25">
      <c r="C954" s="33"/>
    </row>
    <row r="955" spans="3:3" x14ac:dyDescent="0.25">
      <c r="C955" s="33"/>
    </row>
    <row r="956" spans="3:3" x14ac:dyDescent="0.25">
      <c r="C956" s="33"/>
    </row>
    <row r="957" spans="3:3" x14ac:dyDescent="0.25">
      <c r="C957" s="33"/>
    </row>
    <row r="958" spans="3:3" x14ac:dyDescent="0.25">
      <c r="C958" s="33"/>
    </row>
    <row r="959" spans="3:3" x14ac:dyDescent="0.25">
      <c r="C959" s="33"/>
    </row>
    <row r="960" spans="3:3" x14ac:dyDescent="0.25">
      <c r="C960" s="33"/>
    </row>
    <row r="961" spans="3:3" x14ac:dyDescent="0.25">
      <c r="C961" s="33"/>
    </row>
    <row r="962" spans="3:3" x14ac:dyDescent="0.25">
      <c r="C962" s="33"/>
    </row>
    <row r="963" spans="3:3" x14ac:dyDescent="0.25">
      <c r="C963" s="33"/>
    </row>
    <row r="964" spans="3:3" x14ac:dyDescent="0.25">
      <c r="C964" s="33"/>
    </row>
    <row r="965" spans="3:3" x14ac:dyDescent="0.25">
      <c r="C965" s="33"/>
    </row>
    <row r="966" spans="3:3" x14ac:dyDescent="0.25">
      <c r="C966" s="33"/>
    </row>
    <row r="967" spans="3:3" x14ac:dyDescent="0.25">
      <c r="C967" s="33"/>
    </row>
    <row r="968" spans="3:3" x14ac:dyDescent="0.25">
      <c r="C968" s="33"/>
    </row>
    <row r="969" spans="3:3" x14ac:dyDescent="0.25">
      <c r="C969" s="33"/>
    </row>
    <row r="970" spans="3:3" x14ac:dyDescent="0.25">
      <c r="C970" s="33"/>
    </row>
    <row r="971" spans="3:3" x14ac:dyDescent="0.25">
      <c r="C971" s="33"/>
    </row>
    <row r="972" spans="3:3" x14ac:dyDescent="0.25">
      <c r="C972" s="33"/>
    </row>
    <row r="973" spans="3:3" x14ac:dyDescent="0.25">
      <c r="C973" s="33"/>
    </row>
    <row r="974" spans="3:3" x14ac:dyDescent="0.25">
      <c r="C974" s="33"/>
    </row>
    <row r="975" spans="3:3" x14ac:dyDescent="0.25">
      <c r="C975" s="33"/>
    </row>
    <row r="976" spans="3:3" x14ac:dyDescent="0.25">
      <c r="C976" s="33"/>
    </row>
    <row r="977" spans="3:3" x14ac:dyDescent="0.25">
      <c r="C977" s="33"/>
    </row>
    <row r="978" spans="3:3" x14ac:dyDescent="0.25">
      <c r="C978" s="33"/>
    </row>
    <row r="979" spans="3:3" x14ac:dyDescent="0.25">
      <c r="C979" s="33"/>
    </row>
    <row r="980" spans="3:3" x14ac:dyDescent="0.25">
      <c r="C980" s="33"/>
    </row>
    <row r="981" spans="3:3" x14ac:dyDescent="0.25">
      <c r="C981" s="33"/>
    </row>
    <row r="982" spans="3:3" x14ac:dyDescent="0.25">
      <c r="C982" s="33"/>
    </row>
    <row r="983" spans="3:3" x14ac:dyDescent="0.25">
      <c r="C983" s="33"/>
    </row>
    <row r="984" spans="3:3" x14ac:dyDescent="0.25">
      <c r="C984" s="33"/>
    </row>
    <row r="985" spans="3:3" x14ac:dyDescent="0.25">
      <c r="C985" s="33"/>
    </row>
    <row r="986" spans="3:3" x14ac:dyDescent="0.25">
      <c r="C986" s="33"/>
    </row>
    <row r="987" spans="3:3" x14ac:dyDescent="0.25">
      <c r="C987" s="33"/>
    </row>
    <row r="988" spans="3:3" x14ac:dyDescent="0.25">
      <c r="C988" s="33"/>
    </row>
    <row r="989" spans="3:3" x14ac:dyDescent="0.25">
      <c r="C989" s="33"/>
    </row>
    <row r="990" spans="3:3" x14ac:dyDescent="0.25">
      <c r="C990" s="33"/>
    </row>
    <row r="991" spans="3:3" x14ac:dyDescent="0.25">
      <c r="C991" s="33"/>
    </row>
    <row r="992" spans="3:3" x14ac:dyDescent="0.25">
      <c r="C992" s="33"/>
    </row>
    <row r="993" spans="3:3" x14ac:dyDescent="0.25">
      <c r="C993" s="33"/>
    </row>
    <row r="994" spans="3:3" x14ac:dyDescent="0.25">
      <c r="C994" s="33"/>
    </row>
    <row r="995" spans="3:3" x14ac:dyDescent="0.25">
      <c r="C995" s="33"/>
    </row>
    <row r="996" spans="3:3" x14ac:dyDescent="0.25">
      <c r="C996" s="33"/>
    </row>
    <row r="997" spans="3:3" x14ac:dyDescent="0.25">
      <c r="C997" s="33"/>
    </row>
    <row r="998" spans="3:3" x14ac:dyDescent="0.25">
      <c r="C998" s="33"/>
    </row>
    <row r="999" spans="3:3" x14ac:dyDescent="0.25">
      <c r="C999" s="33"/>
    </row>
    <row r="1000" spans="3:3" x14ac:dyDescent="0.25">
      <c r="C1000" s="33"/>
    </row>
    <row r="1001" spans="3:3" x14ac:dyDescent="0.25">
      <c r="C1001" s="33"/>
    </row>
    <row r="1002" spans="3:3" x14ac:dyDescent="0.25">
      <c r="C1002" s="33"/>
    </row>
    <row r="1003" spans="3:3" x14ac:dyDescent="0.25">
      <c r="C1003" s="33"/>
    </row>
    <row r="1004" spans="3:3" x14ac:dyDescent="0.25">
      <c r="C1004" s="33"/>
    </row>
    <row r="1005" spans="3:3" x14ac:dyDescent="0.25">
      <c r="C1005" s="33"/>
    </row>
    <row r="1006" spans="3:3" x14ac:dyDescent="0.25">
      <c r="C1006" s="33"/>
    </row>
    <row r="1007" spans="3:3" x14ac:dyDescent="0.25">
      <c r="C1007" s="33"/>
    </row>
    <row r="1008" spans="3:3" x14ac:dyDescent="0.25">
      <c r="C1008" s="33"/>
    </row>
    <row r="1009" spans="3:3" x14ac:dyDescent="0.25">
      <c r="C1009" s="33"/>
    </row>
    <row r="1010" spans="3:3" x14ac:dyDescent="0.25">
      <c r="C1010" s="33"/>
    </row>
    <row r="1011" spans="3:3" x14ac:dyDescent="0.25">
      <c r="C1011" s="33"/>
    </row>
    <row r="1012" spans="3:3" x14ac:dyDescent="0.25">
      <c r="C1012" s="33"/>
    </row>
    <row r="1013" spans="3:3" x14ac:dyDescent="0.25">
      <c r="C1013" s="33"/>
    </row>
    <row r="1014" spans="3:3" x14ac:dyDescent="0.25">
      <c r="C1014" s="33"/>
    </row>
    <row r="1015" spans="3:3" x14ac:dyDescent="0.25">
      <c r="C1015" s="33"/>
    </row>
    <row r="1016" spans="3:3" x14ac:dyDescent="0.25">
      <c r="C1016" s="33"/>
    </row>
    <row r="1017" spans="3:3" x14ac:dyDescent="0.25">
      <c r="C1017" s="33"/>
    </row>
    <row r="1018" spans="3:3" x14ac:dyDescent="0.25">
      <c r="C1018" s="33"/>
    </row>
    <row r="1019" spans="3:3" x14ac:dyDescent="0.25">
      <c r="C1019" s="33"/>
    </row>
    <row r="1020" spans="3:3" x14ac:dyDescent="0.25">
      <c r="C1020" s="33"/>
    </row>
    <row r="1021" spans="3:3" x14ac:dyDescent="0.25">
      <c r="C1021" s="33"/>
    </row>
    <row r="1022" spans="3:3" x14ac:dyDescent="0.25">
      <c r="C1022" s="33"/>
    </row>
    <row r="1023" spans="3:3" x14ac:dyDescent="0.25">
      <c r="C1023" s="33"/>
    </row>
    <row r="1024" spans="3:3" x14ac:dyDescent="0.25">
      <c r="C1024" s="33"/>
    </row>
    <row r="1025" spans="3:3" x14ac:dyDescent="0.25">
      <c r="C1025" s="33"/>
    </row>
    <row r="1026" spans="3:3" x14ac:dyDescent="0.25">
      <c r="C1026" s="33"/>
    </row>
    <row r="1027" spans="3:3" x14ac:dyDescent="0.25">
      <c r="C1027" s="33"/>
    </row>
    <row r="1028" spans="3:3" x14ac:dyDescent="0.25">
      <c r="C1028" s="33"/>
    </row>
    <row r="1029" spans="3:3" x14ac:dyDescent="0.25">
      <c r="C1029" s="33"/>
    </row>
    <row r="1030" spans="3:3" x14ac:dyDescent="0.25">
      <c r="C1030" s="33"/>
    </row>
    <row r="1031" spans="3:3" x14ac:dyDescent="0.25">
      <c r="C1031" s="33"/>
    </row>
    <row r="1032" spans="3:3" x14ac:dyDescent="0.25">
      <c r="C1032" s="33"/>
    </row>
    <row r="1033" spans="3:3" x14ac:dyDescent="0.25">
      <c r="C1033" s="33"/>
    </row>
    <row r="1034" spans="3:3" x14ac:dyDescent="0.25">
      <c r="C1034" s="33"/>
    </row>
    <row r="1035" spans="3:3" x14ac:dyDescent="0.25">
      <c r="C1035" s="33"/>
    </row>
    <row r="1036" spans="3:3" x14ac:dyDescent="0.25">
      <c r="C1036" s="33"/>
    </row>
    <row r="1037" spans="3:3" x14ac:dyDescent="0.25">
      <c r="C1037" s="33"/>
    </row>
    <row r="1038" spans="3:3" x14ac:dyDescent="0.25">
      <c r="C1038" s="33"/>
    </row>
    <row r="1039" spans="3:3" x14ac:dyDescent="0.25">
      <c r="C1039" s="33"/>
    </row>
    <row r="1040" spans="3:3" x14ac:dyDescent="0.25">
      <c r="C1040" s="33"/>
    </row>
    <row r="1041" spans="3:3" x14ac:dyDescent="0.25">
      <c r="C1041" s="33"/>
    </row>
    <row r="1042" spans="3:3" x14ac:dyDescent="0.25">
      <c r="C1042" s="33"/>
    </row>
    <row r="1043" spans="3:3" x14ac:dyDescent="0.25">
      <c r="C1043" s="33"/>
    </row>
    <row r="1044" spans="3:3" x14ac:dyDescent="0.25">
      <c r="C1044" s="33"/>
    </row>
    <row r="1045" spans="3:3" x14ac:dyDescent="0.25">
      <c r="C1045" s="33"/>
    </row>
    <row r="1046" spans="3:3" x14ac:dyDescent="0.25">
      <c r="C1046" s="33"/>
    </row>
    <row r="1047" spans="3:3" x14ac:dyDescent="0.25">
      <c r="C1047" s="33"/>
    </row>
    <row r="1048" spans="3:3" x14ac:dyDescent="0.25">
      <c r="C1048" s="33"/>
    </row>
    <row r="1049" spans="3:3" x14ac:dyDescent="0.25">
      <c r="C1049" s="33"/>
    </row>
    <row r="1050" spans="3:3" x14ac:dyDescent="0.25">
      <c r="C1050" s="33"/>
    </row>
    <row r="1051" spans="3:3" x14ac:dyDescent="0.25">
      <c r="C1051" s="33"/>
    </row>
    <row r="1052" spans="3:3" x14ac:dyDescent="0.25">
      <c r="C1052" s="33"/>
    </row>
    <row r="1053" spans="3:3" x14ac:dyDescent="0.25">
      <c r="C1053" s="33"/>
    </row>
    <row r="1054" spans="3:3" x14ac:dyDescent="0.25">
      <c r="C1054" s="33"/>
    </row>
    <row r="1055" spans="3:3" x14ac:dyDescent="0.25">
      <c r="C1055" s="33"/>
    </row>
    <row r="1056" spans="3:3" x14ac:dyDescent="0.25">
      <c r="C1056" s="33"/>
    </row>
    <row r="1057" spans="3:3" x14ac:dyDescent="0.25">
      <c r="C1057" s="33"/>
    </row>
    <row r="1058" spans="3:3" x14ac:dyDescent="0.25">
      <c r="C1058" s="33"/>
    </row>
    <row r="1059" spans="3:3" x14ac:dyDescent="0.25">
      <c r="C1059" s="33"/>
    </row>
    <row r="1060" spans="3:3" x14ac:dyDescent="0.25">
      <c r="C1060" s="33"/>
    </row>
    <row r="1061" spans="3:3" x14ac:dyDescent="0.25">
      <c r="C1061" s="33"/>
    </row>
    <row r="1062" spans="3:3" x14ac:dyDescent="0.25">
      <c r="C1062" s="33"/>
    </row>
    <row r="1063" spans="3:3" x14ac:dyDescent="0.25">
      <c r="C1063" s="33"/>
    </row>
    <row r="1064" spans="3:3" x14ac:dyDescent="0.25">
      <c r="C1064" s="33"/>
    </row>
    <row r="1065" spans="3:3" x14ac:dyDescent="0.25">
      <c r="C1065" s="33"/>
    </row>
    <row r="1066" spans="3:3" x14ac:dyDescent="0.25">
      <c r="C1066" s="33"/>
    </row>
    <row r="1067" spans="3:3" x14ac:dyDescent="0.25">
      <c r="C1067" s="33"/>
    </row>
    <row r="1068" spans="3:3" x14ac:dyDescent="0.25">
      <c r="C1068" s="33"/>
    </row>
    <row r="1069" spans="3:3" x14ac:dyDescent="0.25">
      <c r="C1069" s="33"/>
    </row>
    <row r="1070" spans="3:3" x14ac:dyDescent="0.25">
      <c r="C1070" s="33"/>
    </row>
    <row r="1071" spans="3:3" x14ac:dyDescent="0.25">
      <c r="C1071" s="33"/>
    </row>
    <row r="1072" spans="3:3" x14ac:dyDescent="0.25">
      <c r="C1072" s="33"/>
    </row>
    <row r="1073" spans="3:3" x14ac:dyDescent="0.25">
      <c r="C1073" s="33"/>
    </row>
    <row r="1074" spans="3:3" x14ac:dyDescent="0.25">
      <c r="C1074" s="33"/>
    </row>
    <row r="1075" spans="3:3" x14ac:dyDescent="0.25">
      <c r="C1075" s="33"/>
    </row>
    <row r="1076" spans="3:3" x14ac:dyDescent="0.25">
      <c r="C1076" s="33"/>
    </row>
    <row r="1077" spans="3:3" x14ac:dyDescent="0.25">
      <c r="C1077" s="33"/>
    </row>
    <row r="1078" spans="3:3" x14ac:dyDescent="0.25">
      <c r="C1078" s="33"/>
    </row>
    <row r="1079" spans="3:3" x14ac:dyDescent="0.25">
      <c r="C1079" s="33"/>
    </row>
    <row r="1080" spans="3:3" x14ac:dyDescent="0.25">
      <c r="C1080" s="33"/>
    </row>
    <row r="1081" spans="3:3" x14ac:dyDescent="0.25">
      <c r="C1081" s="33"/>
    </row>
    <row r="1082" spans="3:3" x14ac:dyDescent="0.25">
      <c r="C1082" s="33"/>
    </row>
    <row r="1083" spans="3:3" x14ac:dyDescent="0.25">
      <c r="C1083" s="33"/>
    </row>
    <row r="1084" spans="3:3" x14ac:dyDescent="0.25">
      <c r="C1084" s="33"/>
    </row>
    <row r="1085" spans="3:3" x14ac:dyDescent="0.25">
      <c r="C1085" s="33"/>
    </row>
    <row r="1086" spans="3:3" x14ac:dyDescent="0.25">
      <c r="C1086" s="33"/>
    </row>
    <row r="1087" spans="3:3" x14ac:dyDescent="0.25">
      <c r="C1087" s="33"/>
    </row>
    <row r="1088" spans="3:3" x14ac:dyDescent="0.25">
      <c r="C1088" s="33"/>
    </row>
    <row r="1089" spans="3:3" x14ac:dyDescent="0.25">
      <c r="C1089" s="33"/>
    </row>
    <row r="1090" spans="3:3" x14ac:dyDescent="0.25">
      <c r="C1090" s="33"/>
    </row>
    <row r="1091" spans="3:3" x14ac:dyDescent="0.25">
      <c r="C1091" s="33"/>
    </row>
    <row r="1092" spans="3:3" x14ac:dyDescent="0.25">
      <c r="C1092" s="33"/>
    </row>
    <row r="1093" spans="3:3" x14ac:dyDescent="0.25">
      <c r="C1093" s="33"/>
    </row>
    <row r="1094" spans="3:3" x14ac:dyDescent="0.25">
      <c r="C1094" s="33"/>
    </row>
    <row r="1095" spans="3:3" x14ac:dyDescent="0.25">
      <c r="C1095" s="33"/>
    </row>
    <row r="1096" spans="3:3" x14ac:dyDescent="0.25">
      <c r="C1096" s="33"/>
    </row>
    <row r="1097" spans="3:3" x14ac:dyDescent="0.25">
      <c r="C1097" s="33"/>
    </row>
    <row r="1098" spans="3:3" x14ac:dyDescent="0.25">
      <c r="C1098" s="33"/>
    </row>
    <row r="1099" spans="3:3" x14ac:dyDescent="0.25">
      <c r="C1099" s="33"/>
    </row>
    <row r="1100" spans="3:3" x14ac:dyDescent="0.25">
      <c r="C1100" s="33"/>
    </row>
    <row r="1101" spans="3:3" x14ac:dyDescent="0.25">
      <c r="C1101" s="33"/>
    </row>
    <row r="1102" spans="3:3" x14ac:dyDescent="0.25">
      <c r="C1102" s="33"/>
    </row>
    <row r="1103" spans="3:3" x14ac:dyDescent="0.25">
      <c r="C1103" s="33"/>
    </row>
    <row r="1104" spans="3:3" x14ac:dyDescent="0.25">
      <c r="C1104" s="33"/>
    </row>
    <row r="1105" spans="3:3" x14ac:dyDescent="0.25">
      <c r="C1105" s="33"/>
    </row>
    <row r="1106" spans="3:3" x14ac:dyDescent="0.25">
      <c r="C1106" s="3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uttonRefresh1">
          <controlPr defaultSize="0" autoLine="0" r:id="rId5">
            <anchor moveWithCells="1">
              <from>
                <xdr:col>2</xdr:col>
                <xdr:colOff>419100</xdr:colOff>
                <xdr:row>0</xdr:row>
                <xdr:rowOff>161925</xdr:rowOff>
              </from>
              <to>
                <xdr:col>3</xdr:col>
                <xdr:colOff>438150</xdr:colOff>
                <xdr:row>1</xdr:row>
                <xdr:rowOff>266700</xdr:rowOff>
              </to>
            </anchor>
          </controlPr>
        </control>
      </mc:Choice>
      <mc:Fallback>
        <control shapeId="9217" r:id="rId4" name="buttonRefresh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Project Summary</vt:lpstr>
      <vt:lpstr>Features</vt:lpstr>
      <vt:lpstr>User System</vt:lpstr>
      <vt:lpstr>Usage Times</vt:lpstr>
      <vt:lpstr>Versions</vt:lpstr>
    </vt:vector>
  </TitlesOfParts>
  <Company>RedGate Software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SmartAssembly Feature Analysis</dc:title>
  <dc:creator>Jason Crease</dc:creator>
  <cp:lastModifiedBy>Brian</cp:lastModifiedBy>
  <dcterms:created xsi:type="dcterms:W3CDTF">2010-12-14T10:49:29Z</dcterms:created>
  <dcterms:modified xsi:type="dcterms:W3CDTF">2013-04-15T22:41:41Z</dcterms:modified>
</cp:coreProperties>
</file>